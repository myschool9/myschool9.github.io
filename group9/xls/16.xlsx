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drawings/drawing5.xml" ContentType="application/vnd.openxmlformats-officedocument.drawing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20" windowWidth="15480" windowHeight="8445"/>
  </bookViews>
  <sheets>
    <sheet name="1 Олімпіада" sheetId="16" r:id="rId1"/>
    <sheet name="2 Семикласники" sheetId="9" r:id="rId2"/>
    <sheet name="3 Кв.рівняння" sheetId="19" r:id="rId3"/>
    <sheet name="4 Шахти" sheetId="18" r:id="rId4"/>
    <sheet name="5 Кури" sheetId="15" r:id="rId5"/>
    <sheet name="6 Трикутники" sheetId="17" r:id="rId6"/>
    <sheet name="7 Кв.рівняння" sheetId="11" r:id="rId7"/>
  </sheets>
  <definedNames>
    <definedName name="_xlnm._FilterDatabase" localSheetId="0" hidden="1">'1 Олімпіада'!$A$2:$F$104</definedName>
    <definedName name="_xlnm.Criteria" localSheetId="0">'1 Олімпіада'!#REF!</definedName>
  </definedNames>
  <calcPr calcId="162913"/>
</workbook>
</file>

<file path=xl/calcChain.xml><?xml version="1.0" encoding="utf-8"?>
<calcChain xmlns="http://schemas.openxmlformats.org/spreadsheetml/2006/main">
  <c r="D19" i="19"/>
  <c r="D18"/>
  <c r="D17"/>
  <c r="D16"/>
  <c r="D15"/>
  <c r="D14"/>
  <c r="D13"/>
  <c r="D12"/>
  <c r="D11"/>
  <c r="D10"/>
  <c r="D9"/>
  <c r="D8"/>
  <c r="D7"/>
  <c r="D6"/>
  <c r="D5"/>
  <c r="D4"/>
  <c r="E8" i="15"/>
  <c r="C11"/>
  <c r="E10"/>
  <c r="E9"/>
  <c r="E7"/>
  <c r="E6"/>
  <c r="E5"/>
  <c r="E4"/>
  <c r="E3"/>
  <c r="D34" i="11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F6" s="1"/>
  <c r="D5"/>
  <c r="D4"/>
  <c r="F4" s="1"/>
  <c r="D3"/>
  <c r="F3" s="1"/>
  <c r="E11" i="15" l="1"/>
  <c r="E6" i="11"/>
  <c r="E4"/>
  <c r="E3"/>
</calcChain>
</file>

<file path=xl/comments1.xml><?xml version="1.0" encoding="utf-8"?>
<comments xmlns="http://schemas.openxmlformats.org/spreadsheetml/2006/main">
  <authors>
    <author>Автор</author>
  </authors>
  <commentList>
    <comment ref="I11" authorId="0">
      <text>
        <r>
          <rPr>
            <b/>
            <sz val="9"/>
            <color indexed="81"/>
            <rFont val="Tahoma"/>
            <charset val="1"/>
          </rPr>
          <t>9 753,14 грн</t>
        </r>
      </text>
    </comment>
  </commentList>
</comments>
</file>

<file path=xl/sharedStrings.xml><?xml version="1.0" encoding="utf-8"?>
<sst xmlns="http://schemas.openxmlformats.org/spreadsheetml/2006/main" count="1819" uniqueCount="503">
  <si>
    <t>?</t>
  </si>
  <si>
    <t>Клас</t>
  </si>
  <si>
    <t>Учень</t>
  </si>
  <si>
    <t>7-А</t>
  </si>
  <si>
    <t>Валебна Ю.</t>
  </si>
  <si>
    <t>Ванкевич В.</t>
  </si>
  <si>
    <t>Вознюк М.</t>
  </si>
  <si>
    <t>Гац Ю.</t>
  </si>
  <si>
    <t>Гриник В.</t>
  </si>
  <si>
    <t>Гук В.</t>
  </si>
  <si>
    <t>Добош М.</t>
  </si>
  <si>
    <t>Друзь О.</t>
  </si>
  <si>
    <t>Задорожна О.</t>
  </si>
  <si>
    <t>Зелик Ю.</t>
  </si>
  <si>
    <t>Кулієвич О.</t>
  </si>
  <si>
    <t>Лаган О.</t>
  </si>
  <si>
    <t>Левіновська О.</t>
  </si>
  <si>
    <t>Максимець Ю.</t>
  </si>
  <si>
    <t>Назар Г.</t>
  </si>
  <si>
    <t>Наконечний А.</t>
  </si>
  <si>
    <t>Нечай О.</t>
  </si>
  <si>
    <t>Полуектов Р.</t>
  </si>
  <si>
    <t>Смілка Р.</t>
  </si>
  <si>
    <t>Сторожук В.</t>
  </si>
  <si>
    <t>Тивонюк С.</t>
  </si>
  <si>
    <t>Тримбульська А.</t>
  </si>
  <si>
    <t>Шевнюк І.</t>
  </si>
  <si>
    <t>7-Б</t>
  </si>
  <si>
    <t>Баляс Т.</t>
  </si>
  <si>
    <t>Бачинський О.</t>
  </si>
  <si>
    <t>Бірук І.</t>
  </si>
  <si>
    <t>Бучма Й.</t>
  </si>
  <si>
    <t>Гасюк Ю.</t>
  </si>
  <si>
    <t>Дубанич Т.</t>
  </si>
  <si>
    <t>Кінаш О.</t>
  </si>
  <si>
    <t>Лаврик О.</t>
  </si>
  <si>
    <t>Лех І.</t>
  </si>
  <si>
    <t>Лівада Н.</t>
  </si>
  <si>
    <t>Мазур Т.</t>
  </si>
  <si>
    <t>Мартинюк О.</t>
  </si>
  <si>
    <t>Медведєв П.</t>
  </si>
  <si>
    <t>Миронюк З.</t>
  </si>
  <si>
    <t>Пащук А.</t>
  </si>
  <si>
    <t>Пелешко В.</t>
  </si>
  <si>
    <t>Пилип'юк Х.</t>
  </si>
  <si>
    <t>Рабчинський І.</t>
  </si>
  <si>
    <t>Рис Я.</t>
  </si>
  <si>
    <t>Роман В.</t>
  </si>
  <si>
    <t>Сазонова Г.</t>
  </si>
  <si>
    <t>Сич Т.</t>
  </si>
  <si>
    <t>Скворцов О.</t>
  </si>
  <si>
    <t>Степчук І.</t>
  </si>
  <si>
    <t>Тлучкевич М.</t>
  </si>
  <si>
    <t>Чорномаз В.</t>
  </si>
  <si>
    <t>Шалавило К.</t>
  </si>
  <si>
    <t>Шумейко Т.</t>
  </si>
  <si>
    <t>7-В</t>
  </si>
  <si>
    <t>Андріїшен Д.</t>
  </si>
  <si>
    <t>Березовська А.</t>
  </si>
  <si>
    <t>Біда С.</t>
  </si>
  <si>
    <t>Вороновська В.</t>
  </si>
  <si>
    <t>Вороновська О.</t>
  </si>
  <si>
    <t>Вугляр Ю.</t>
  </si>
  <si>
    <t>Гаврилюк С.</t>
  </si>
  <si>
    <t>Грицан М.</t>
  </si>
  <si>
    <t>Дмитрук Т.</t>
  </si>
  <si>
    <t>Довган І.</t>
  </si>
  <si>
    <t>Зджанська Х.</t>
  </si>
  <si>
    <t>Зозуля П.</t>
  </si>
  <si>
    <t>Колачник А.</t>
  </si>
  <si>
    <t>Колачник Ю.</t>
  </si>
  <si>
    <t>Куліна А.</t>
  </si>
  <si>
    <t>Лизан А.</t>
  </si>
  <si>
    <t>Марущак М.</t>
  </si>
  <si>
    <t>Нешпір І.</t>
  </si>
  <si>
    <t>Остапик О.</t>
  </si>
  <si>
    <t>Пікула М.</t>
  </si>
  <si>
    <t>Піляк Ю.</t>
  </si>
  <si>
    <t>Рацький О.</t>
  </si>
  <si>
    <t>Сандулович А.</t>
  </si>
  <si>
    <t>Ткач А.</t>
  </si>
  <si>
    <t>Усенко Ю.</t>
  </si>
  <si>
    <t>Чепчук О.</t>
  </si>
  <si>
    <t>Шницер В.</t>
  </si>
  <si>
    <t>Штибель В.</t>
  </si>
  <si>
    <t>7-Г</t>
  </si>
  <si>
    <t>Аракчеєв Д.</t>
  </si>
  <si>
    <t>Багрій В.</t>
  </si>
  <si>
    <t>Боднарук З.</t>
  </si>
  <si>
    <t>Ванкевич М.</t>
  </si>
  <si>
    <t>Васильчук А.</t>
  </si>
  <si>
    <t>Глушко М.</t>
  </si>
  <si>
    <t>Глущук І.</t>
  </si>
  <si>
    <t>Демчук Ю.</t>
  </si>
  <si>
    <t>Дмитришин Н.</t>
  </si>
  <si>
    <t>Жарова Х.</t>
  </si>
  <si>
    <t>Жарський В.</t>
  </si>
  <si>
    <t>Коцур Ю.</t>
  </si>
  <si>
    <t>Кравець М.</t>
  </si>
  <si>
    <t>Кривицька І.</t>
  </si>
  <si>
    <t>Кузьмів Т.</t>
  </si>
  <si>
    <t>Максимов А.</t>
  </si>
  <si>
    <t>Мартиненко В.</t>
  </si>
  <si>
    <t>Мусій І.</t>
  </si>
  <si>
    <t>Плішко А.</t>
  </si>
  <si>
    <t>Притискач К.</t>
  </si>
  <si>
    <t>Рудий С.</t>
  </si>
  <si>
    <t>Скасирський Д.</t>
  </si>
  <si>
    <t>Струс Ю.</t>
  </si>
  <si>
    <t>Ткачук Х.</t>
  </si>
  <si>
    <t>Трач І.</t>
  </si>
  <si>
    <t>Федик Ю.</t>
  </si>
  <si>
    <t>Фуц Ю.</t>
  </si>
  <si>
    <t>Юзва Ю.</t>
  </si>
  <si>
    <t>7-Д</t>
  </si>
  <si>
    <t>Багрій М.</t>
  </si>
  <si>
    <t>Білан В.</t>
  </si>
  <si>
    <t>Вербило Р.</t>
  </si>
  <si>
    <t>Вовк І.</t>
  </si>
  <si>
    <t>Горбай Ю.</t>
  </si>
  <si>
    <t>Гуменюк М.</t>
  </si>
  <si>
    <t>Данилів В.</t>
  </si>
  <si>
    <t>Дмитришин Р.</t>
  </si>
  <si>
    <t>Калиш П.</t>
  </si>
  <si>
    <t>Ковтун А.</t>
  </si>
  <si>
    <t>Козак О.</t>
  </si>
  <si>
    <t>Кречківський В.</t>
  </si>
  <si>
    <t>Крук Ю.</t>
  </si>
  <si>
    <t>Крупій Л.</t>
  </si>
  <si>
    <t>Лізарук Т.</t>
  </si>
  <si>
    <t>Маціканич В.</t>
  </si>
  <si>
    <t>Мінченко О.</t>
  </si>
  <si>
    <t>Мороз В.</t>
  </si>
  <si>
    <t>Морозова Т.</t>
  </si>
  <si>
    <t>Попіль Я.</t>
  </si>
  <si>
    <t>Приступа Я.</t>
  </si>
  <si>
    <t>Протасова Г.</t>
  </si>
  <si>
    <t>Романчук П.</t>
  </si>
  <si>
    <t>Січевський В.</t>
  </si>
  <si>
    <t>Тижбир П.</t>
  </si>
  <si>
    <t>Уханська О.</t>
  </si>
  <si>
    <t>Хробак Ю.</t>
  </si>
  <si>
    <t>Чех І.</t>
  </si>
  <si>
    <t>7-Е</t>
  </si>
  <si>
    <t>Василюк В.</t>
  </si>
  <si>
    <t>Васько О.</t>
  </si>
  <si>
    <t>Вітик Т.</t>
  </si>
  <si>
    <t>Грет Д.</t>
  </si>
  <si>
    <t>Дацько А.</t>
  </si>
  <si>
    <t>Кінах С.</t>
  </si>
  <si>
    <t>Кравець В.</t>
  </si>
  <si>
    <t>Кравчишин Р.</t>
  </si>
  <si>
    <t>Михайлишин В.</t>
  </si>
  <si>
    <t>Мусій Р.</t>
  </si>
  <si>
    <t>Партак І.</t>
  </si>
  <si>
    <t>Партак О.</t>
  </si>
  <si>
    <t>Переходень О.</t>
  </si>
  <si>
    <t>Сенина І.</t>
  </si>
  <si>
    <t>Солоненко Т.</t>
  </si>
  <si>
    <t>Стахник Н.</t>
  </si>
  <si>
    <t>Стичук В.</t>
  </si>
  <si>
    <t>Тютяєв С.</t>
  </si>
  <si>
    <t>Федорів О.</t>
  </si>
  <si>
    <t>Федюк С.</t>
  </si>
  <si>
    <t>Цвях Р.</t>
  </si>
  <si>
    <t>Циганко А.</t>
  </si>
  <si>
    <t>Шалавило І.</t>
  </si>
  <si>
    <t>Шпачук О.</t>
  </si>
  <si>
    <t>7-Є</t>
  </si>
  <si>
    <t>Андрушко М.</t>
  </si>
  <si>
    <t>Астапович Р.</t>
  </si>
  <si>
    <t>Бабюк М.</t>
  </si>
  <si>
    <t>Барзій А.</t>
  </si>
  <si>
    <t>Бербелицька Л.</t>
  </si>
  <si>
    <t>Брухаль М.</t>
  </si>
  <si>
    <t>Бувайло Ю.</t>
  </si>
  <si>
    <t>Верхола В.</t>
  </si>
  <si>
    <t>Гундзик О.</t>
  </si>
  <si>
    <t>Дика І.</t>
  </si>
  <si>
    <t>Драбич М.</t>
  </si>
  <si>
    <t>Зверко О.</t>
  </si>
  <si>
    <t>Івануса М.</t>
  </si>
  <si>
    <t>Канюка В.</t>
  </si>
  <si>
    <t>Лабай М.</t>
  </si>
  <si>
    <t>Лінинський А.</t>
  </si>
  <si>
    <t>Луговський Ю.</t>
  </si>
  <si>
    <t>Музичка С.</t>
  </si>
  <si>
    <t>Пащук І.</t>
  </si>
  <si>
    <t>Погонюк Н.</t>
  </si>
  <si>
    <t>Седьмак О.</t>
  </si>
  <si>
    <t>Скорікова О.</t>
  </si>
  <si>
    <t>Стародуб Л.</t>
  </si>
  <si>
    <t>Тичкус Х.</t>
  </si>
  <si>
    <t>Третяк Я.</t>
  </si>
  <si>
    <t>Трубейло Т.</t>
  </si>
  <si>
    <t>Чаус Т.</t>
  </si>
  <si>
    <t>Чорнобай В.</t>
  </si>
  <si>
    <t>7-Ж</t>
  </si>
  <si>
    <t>Герцик М.</t>
  </si>
  <si>
    <t>Головатюк О.</t>
  </si>
  <si>
    <t>Грабовська В.</t>
  </si>
  <si>
    <t>Гриша Х.</t>
  </si>
  <si>
    <t>Зузак І.</t>
  </si>
  <si>
    <t>Казьмір Д.</t>
  </si>
  <si>
    <t>Кубран І.</t>
  </si>
  <si>
    <t>Курилова А.</t>
  </si>
  <si>
    <t>Кутвіцький І.</t>
  </si>
  <si>
    <t>Лазар Д.</t>
  </si>
  <si>
    <t>Лісь О.</t>
  </si>
  <si>
    <t>Лозінська В.</t>
  </si>
  <si>
    <t>Лозінська Т.</t>
  </si>
  <si>
    <t>Лох Ю.</t>
  </si>
  <si>
    <t>Медянко Г.</t>
  </si>
  <si>
    <t>Мусікевич В.</t>
  </si>
  <si>
    <t>Паньків Д.</t>
  </si>
  <si>
    <t>Сай-Боднар В.</t>
  </si>
  <si>
    <t>Спічак Г.</t>
  </si>
  <si>
    <t>Хлипняч М.</t>
  </si>
  <si>
    <t>Швед О.</t>
  </si>
  <si>
    <t>Янчишин Є.</t>
  </si>
  <si>
    <t>Всього:</t>
  </si>
  <si>
    <t>молодець</t>
  </si>
  <si>
    <t>старайся!</t>
  </si>
  <si>
    <t>Середній бал</t>
  </si>
  <si>
    <t>a</t>
  </si>
  <si>
    <t>b</t>
  </si>
  <si>
    <t>c</t>
  </si>
  <si>
    <t>Сергієнко</t>
  </si>
  <si>
    <r>
      <t>Розв’язки квадратних рівнянь виду ах</t>
    </r>
    <r>
      <rPr>
        <b/>
        <vertAlign val="superscript"/>
        <sz val="12"/>
        <rFont val="Arial Cyr"/>
        <charset val="204"/>
      </rPr>
      <t>2</t>
    </r>
    <r>
      <rPr>
        <b/>
        <sz val="12"/>
        <rFont val="Arial Cyr"/>
        <charset val="204"/>
      </rPr>
      <t>+bx+c=0</t>
    </r>
  </si>
  <si>
    <t>D</t>
  </si>
  <si>
    <t>Є розв’язки?</t>
  </si>
  <si>
    <r>
      <t>x</t>
    </r>
    <r>
      <rPr>
        <b/>
        <vertAlign val="subscript"/>
        <sz val="10"/>
        <rFont val="Arial Cyr"/>
        <charset val="204"/>
      </rPr>
      <t>1</t>
    </r>
  </si>
  <si>
    <r>
      <t>x</t>
    </r>
    <r>
      <rPr>
        <b/>
        <vertAlign val="subscript"/>
        <sz val="10"/>
        <rFont val="Arial Cyr"/>
        <charset val="204"/>
      </rPr>
      <t>2</t>
    </r>
  </si>
  <si>
    <t>№ з/п</t>
  </si>
  <si>
    <t>1.</t>
  </si>
  <si>
    <t>2.</t>
  </si>
  <si>
    <t>3.</t>
  </si>
  <si>
    <t>4.</t>
  </si>
  <si>
    <t>5.</t>
  </si>
  <si>
    <t>6.</t>
  </si>
  <si>
    <t>7.</t>
  </si>
  <si>
    <t>Четвертинка</t>
  </si>
  <si>
    <t>Кількість (кг)</t>
  </si>
  <si>
    <t>Оптова купівля курячих продуктів</t>
  </si>
  <si>
    <t>Ціна за кг 
(грн)</t>
  </si>
  <si>
    <t>До оплати
(грн)</t>
  </si>
  <si>
    <t>помилки була порожня клітинка</t>
  </si>
  <si>
    <r>
      <t>Використайте функцію</t>
    </r>
    <r>
      <rPr>
        <b/>
        <sz val="10"/>
        <color rgb="FF0070C0"/>
        <rFont val="Calibri"/>
        <family val="2"/>
        <charset val="204"/>
        <scheme val="minor"/>
      </rPr>
      <t xml:space="preserve"> </t>
    </r>
    <r>
      <rPr>
        <b/>
        <sz val="11"/>
        <color rgb="FF0070C0"/>
        <rFont val="Calibri"/>
        <family val="2"/>
        <charset val="204"/>
        <scheme val="minor"/>
      </rPr>
      <t xml:space="preserve"> </t>
    </r>
    <r>
      <rPr>
        <b/>
        <sz val="11"/>
        <rFont val="Calibri"/>
        <family val="2"/>
        <charset val="204"/>
        <scheme val="minor"/>
      </rPr>
      <t>IF</t>
    </r>
    <r>
      <rPr>
        <b/>
        <sz val="10"/>
        <rFont val="Calibri"/>
        <family val="2"/>
        <charset val="204"/>
        <scheme val="minor"/>
      </rPr>
      <t xml:space="preserve"> </t>
    </r>
    <r>
      <rPr>
        <sz val="10"/>
        <color rgb="FF0070C0"/>
        <rFont val="Calibri"/>
        <family val="2"/>
        <charset val="204"/>
        <scheme val="minor"/>
      </rPr>
      <t xml:space="preserve"> , щоб замість</t>
    </r>
  </si>
  <si>
    <t>2007
II сем</t>
  </si>
  <si>
    <t>2007
І сем</t>
  </si>
  <si>
    <t>боротьба</t>
  </si>
  <si>
    <t>Христина</t>
  </si>
  <si>
    <t>Олександр</t>
  </si>
  <si>
    <t>Шриг</t>
  </si>
  <si>
    <t>Сергій</t>
  </si>
  <si>
    <t>Ширяєв</t>
  </si>
  <si>
    <t>футбол</t>
  </si>
  <si>
    <t>Олена</t>
  </si>
  <si>
    <t>Шевчук</t>
  </si>
  <si>
    <t>Марина</t>
  </si>
  <si>
    <t>танці</t>
  </si>
  <si>
    <t>Марія</t>
  </si>
  <si>
    <t>Шаповалова</t>
  </si>
  <si>
    <t>Чесакова</t>
  </si>
  <si>
    <t>іноземна</t>
  </si>
  <si>
    <t>Ігор</t>
  </si>
  <si>
    <t>Хорсун</t>
  </si>
  <si>
    <t>Федорченко</t>
  </si>
  <si>
    <t>Юрій</t>
  </si>
  <si>
    <t>Файзієв</t>
  </si>
  <si>
    <t>Валерій</t>
  </si>
  <si>
    <t>Толмачов</t>
  </si>
  <si>
    <t>Тімакова</t>
  </si>
  <si>
    <t>Роман</t>
  </si>
  <si>
    <t>Тихонов</t>
  </si>
  <si>
    <t>Микола</t>
  </si>
  <si>
    <t>Терехін</t>
  </si>
  <si>
    <t>Ганна</t>
  </si>
  <si>
    <t>Тарасова</t>
  </si>
  <si>
    <t>Тарасов</t>
  </si>
  <si>
    <t>теніс</t>
  </si>
  <si>
    <t>Таран</t>
  </si>
  <si>
    <t>Супрун</t>
  </si>
  <si>
    <t>Євген</t>
  </si>
  <si>
    <t>Стефанюк</t>
  </si>
  <si>
    <t>Ніна</t>
  </si>
  <si>
    <t>Степула</t>
  </si>
  <si>
    <t>Валерія</t>
  </si>
  <si>
    <t>Інна</t>
  </si>
  <si>
    <t>Солок</t>
  </si>
  <si>
    <t>Антон</t>
  </si>
  <si>
    <t>Сметанін</t>
  </si>
  <si>
    <t>Максим</t>
  </si>
  <si>
    <t>Слабоцький</t>
  </si>
  <si>
    <t>Оксана</t>
  </si>
  <si>
    <t>Сиротинська</t>
  </si>
  <si>
    <t>Володимир</t>
  </si>
  <si>
    <t>Богдан</t>
  </si>
  <si>
    <t>Свірін</t>
  </si>
  <si>
    <t>Катерина</t>
  </si>
  <si>
    <t>Русаліна</t>
  </si>
  <si>
    <t>Романюк</t>
  </si>
  <si>
    <t>Андрій</t>
  </si>
  <si>
    <t>Рамський</t>
  </si>
  <si>
    <t>Олександра</t>
  </si>
  <si>
    <t>Продан</t>
  </si>
  <si>
    <t>Тарас</t>
  </si>
  <si>
    <t>Приходько</t>
  </si>
  <si>
    <t>Станіслав</t>
  </si>
  <si>
    <t>Лідія</t>
  </si>
  <si>
    <t>Поноженко</t>
  </si>
  <si>
    <t>Григорій</t>
  </si>
  <si>
    <t>Полонський</t>
  </si>
  <si>
    <t>Олег</t>
  </si>
  <si>
    <t>Поденков</t>
  </si>
  <si>
    <t>Василь</t>
  </si>
  <si>
    <t>Пісков</t>
  </si>
  <si>
    <t>Світлана</t>
  </si>
  <si>
    <t>Петрова</t>
  </si>
  <si>
    <t>Петров</t>
  </si>
  <si>
    <t>Петренко</t>
  </si>
  <si>
    <t>Петрененко</t>
  </si>
  <si>
    <t>Клим</t>
  </si>
  <si>
    <t>Палажченко</t>
  </si>
  <si>
    <t>Павленко</t>
  </si>
  <si>
    <t>Георгій</t>
  </si>
  <si>
    <t>Отто</t>
  </si>
  <si>
    <t>Ольга</t>
  </si>
  <si>
    <t>Однопозова</t>
  </si>
  <si>
    <t>Налескін</t>
  </si>
  <si>
    <t>Мішалова</t>
  </si>
  <si>
    <t>Міронова</t>
  </si>
  <si>
    <t>Мельниченко</t>
  </si>
  <si>
    <t xml:space="preserve">Мейтін </t>
  </si>
  <si>
    <t>Віктор</t>
  </si>
  <si>
    <t>Махайловський</t>
  </si>
  <si>
    <t>Матвієнко</t>
  </si>
  <si>
    <t>Артем</t>
  </si>
  <si>
    <t>Марченко</t>
  </si>
  <si>
    <t>Малич</t>
  </si>
  <si>
    <t>Максимов</t>
  </si>
  <si>
    <t>Любченко</t>
  </si>
  <si>
    <t>Дмитро</t>
  </si>
  <si>
    <t>Лагур</t>
  </si>
  <si>
    <t>Куріс</t>
  </si>
  <si>
    <t>Красна</t>
  </si>
  <si>
    <t>Конєв</t>
  </si>
  <si>
    <t>Комендо</t>
  </si>
  <si>
    <t>Юлія</t>
  </si>
  <si>
    <t>Колеснікова</t>
  </si>
  <si>
    <t>Кедреновський</t>
  </si>
  <si>
    <t>Іванов</t>
  </si>
  <si>
    <t>Іваницька</t>
  </si>
  <si>
    <t>Іваненко</t>
  </si>
  <si>
    <t>Анатолій</t>
  </si>
  <si>
    <t>Зленко</t>
  </si>
  <si>
    <t>Жаборовська</t>
  </si>
  <si>
    <t>Олексій</t>
  </si>
  <si>
    <t>Євтух</t>
  </si>
  <si>
    <t>Дудко</t>
  </si>
  <si>
    <t>Дрозд</t>
  </si>
  <si>
    <t>Вадим</t>
  </si>
  <si>
    <t>Денисенко</t>
  </si>
  <si>
    <t>Деміденко</t>
  </si>
  <si>
    <t>Дементієвська</t>
  </si>
  <si>
    <t>Даниленко</t>
  </si>
  <si>
    <t>Гурченко</t>
  </si>
  <si>
    <t>Грищенко</t>
  </si>
  <si>
    <t>Горбов</t>
  </si>
  <si>
    <t>Павло</t>
  </si>
  <si>
    <t>Головко</t>
  </si>
  <si>
    <t>Голіков</t>
  </si>
  <si>
    <t>Гасич</t>
  </si>
  <si>
    <t>музика</t>
  </si>
  <si>
    <t>Галушко</t>
  </si>
  <si>
    <t>Вознюк</t>
  </si>
  <si>
    <t>Федір</t>
  </si>
  <si>
    <t>Владимиренко</t>
  </si>
  <si>
    <t>Вітліський</t>
  </si>
  <si>
    <t>Веткіна</t>
  </si>
  <si>
    <t>Надія</t>
  </si>
  <si>
    <t>Верещага</t>
  </si>
  <si>
    <t>Вікторія</t>
  </si>
  <si>
    <t>Борис</t>
  </si>
  <si>
    <t>Василенко</t>
  </si>
  <si>
    <t xml:space="preserve">Бронштейн </t>
  </si>
  <si>
    <t>Бочаров</t>
  </si>
  <si>
    <t>Білоцький</t>
  </si>
  <si>
    <t>Балєєв</t>
  </si>
  <si>
    <t>Чи захоплюється тенісом?</t>
  </si>
  <si>
    <t>Захоплення</t>
  </si>
  <si>
    <t>Стать</t>
  </si>
  <si>
    <t>Зріст</t>
  </si>
  <si>
    <t>Вік</t>
  </si>
  <si>
    <t>Ім'я</t>
  </si>
  <si>
    <t>Прізвище</t>
  </si>
  <si>
    <t>Параметри трикутників</t>
  </si>
  <si>
    <t>Сторони</t>
  </si>
  <si>
    <t>Трикутник 1</t>
  </si>
  <si>
    <t>Трикутник 2</t>
  </si>
  <si>
    <t>Трикутник 3</t>
  </si>
  <si>
    <t>Трикутник 4</t>
  </si>
  <si>
    <t>Трикутник 5</t>
  </si>
  <si>
    <t>Трикутник 6</t>
  </si>
  <si>
    <t>a  =</t>
  </si>
  <si>
    <t>b  =</t>
  </si>
  <si>
    <t>c  =</t>
  </si>
  <si>
    <r>
      <t xml:space="preserve">Чи є трикутник прямокутним? </t>
    </r>
    <r>
      <rPr>
        <b/>
        <sz val="12"/>
        <rFont val="Calibri"/>
        <family val="2"/>
        <charset val="204"/>
        <scheme val="minor"/>
      </rPr>
      <t>(a</t>
    </r>
    <r>
      <rPr>
        <b/>
        <vertAlign val="superscript"/>
        <sz val="12"/>
        <rFont val="Calibri"/>
        <family val="2"/>
        <charset val="204"/>
        <scheme val="minor"/>
      </rPr>
      <t>2</t>
    </r>
    <r>
      <rPr>
        <b/>
        <sz val="12"/>
        <rFont val="Calibri"/>
        <family val="2"/>
        <charset val="204"/>
        <scheme val="minor"/>
      </rPr>
      <t>+b</t>
    </r>
    <r>
      <rPr>
        <b/>
        <vertAlign val="superscript"/>
        <sz val="12"/>
        <rFont val="Calibri"/>
        <family val="2"/>
        <charset val="204"/>
        <scheme val="minor"/>
      </rPr>
      <t>2</t>
    </r>
    <r>
      <rPr>
        <b/>
        <sz val="12"/>
        <rFont val="Calibri"/>
        <family val="2"/>
        <charset val="204"/>
        <scheme val="minor"/>
      </rPr>
      <t>=c</t>
    </r>
    <r>
      <rPr>
        <b/>
        <vertAlign val="superscript"/>
        <sz val="12"/>
        <rFont val="Calibri"/>
        <family val="2"/>
        <charset val="204"/>
        <scheme val="minor"/>
      </rPr>
      <t>2</t>
    </r>
    <r>
      <rPr>
        <b/>
        <sz val="12"/>
        <rFont val="Calibri"/>
        <family val="2"/>
        <charset val="204"/>
        <scheme val="minor"/>
      </rPr>
      <t>)</t>
    </r>
  </si>
  <si>
    <t>так</t>
  </si>
  <si>
    <t>Виконання плану по видобутку вугілля шахтами ДВАТ "Львіввугілля" за 2002 рік</t>
  </si>
  <si>
    <t>№</t>
  </si>
  <si>
    <t>Шахта</t>
  </si>
  <si>
    <t>I  квартал</t>
  </si>
  <si>
    <t>II  квартал</t>
  </si>
  <si>
    <t>III  квартал</t>
  </si>
  <si>
    <t>IV  квартал</t>
  </si>
  <si>
    <t>Січень</t>
  </si>
  <si>
    <t>Лютий</t>
  </si>
  <si>
    <t>Березень</t>
  </si>
  <si>
    <t>Квітень</t>
  </si>
  <si>
    <t>Травень</t>
  </si>
  <si>
    <t>Червень</t>
  </si>
  <si>
    <t>Липень</t>
  </si>
  <si>
    <t>Серпень</t>
  </si>
  <si>
    <t>Вересень</t>
  </si>
  <si>
    <t>Жовтень</t>
  </si>
  <si>
    <t>Листопад</t>
  </si>
  <si>
    <t>Грудень</t>
  </si>
  <si>
    <t>№1 "ВМ"</t>
  </si>
  <si>
    <t>"Великомостівська"</t>
  </si>
  <si>
    <t>№2 "ВМ"</t>
  </si>
  <si>
    <t>"Бендюзька"</t>
  </si>
  <si>
    <t>№3 "ВМ"</t>
  </si>
  <si>
    <t>"Межирічанська"</t>
  </si>
  <si>
    <t>№4 "ВМ"</t>
  </si>
  <si>
    <t>"Відродження"</t>
  </si>
  <si>
    <t>№6 "ВМ"</t>
  </si>
  <si>
    <t>"Лісова"</t>
  </si>
  <si>
    <t>№7 "ВМ"</t>
  </si>
  <si>
    <t>"Зарічна"</t>
  </si>
  <si>
    <t>№8 "ВМ"</t>
  </si>
  <si>
    <t>"Візейська"</t>
  </si>
  <si>
    <t>№9 "ВМ"</t>
  </si>
  <si>
    <t>"Надія"</t>
  </si>
  <si>
    <t>№10 "ВМ"</t>
  </si>
  <si>
    <t>"Степова"</t>
  </si>
  <si>
    <t>№2 "ЧГ"</t>
  </si>
  <si>
    <t>"Червоноградська"</t>
  </si>
  <si>
    <t>прямокутний</t>
  </si>
  <si>
    <t>Чи виконано план (&gt;0)?</t>
  </si>
  <si>
    <t>ні</t>
  </si>
  <si>
    <t>Трикутник 7</t>
  </si>
  <si>
    <t>Трикутник 8</t>
  </si>
  <si>
    <t>Трикутник 9</t>
  </si>
  <si>
    <t>Чи виконано план?</t>
  </si>
  <si>
    <t>так, старшокласник</t>
  </si>
  <si>
    <t>ні, малий ще</t>
  </si>
  <si>
    <t>хлопець</t>
  </si>
  <si>
    <t>дівчина</t>
  </si>
  <si>
    <r>
      <rPr>
        <b/>
        <sz val="11"/>
        <color theme="1"/>
        <rFont val="Calibri"/>
        <family val="2"/>
        <charset val="204"/>
        <scheme val="minor"/>
      </rPr>
      <t>Чи почав краще вчитися?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sz val="10"/>
        <color theme="1"/>
        <rFont val="Calibri"/>
        <family val="2"/>
        <charset val="204"/>
        <scheme val="minor"/>
      </rPr>
      <t>(І сем &lt; ІІ сем)</t>
    </r>
  </si>
  <si>
    <t>гірше</t>
  </si>
  <si>
    <t>краще</t>
  </si>
  <si>
    <t>№ картки постійного клієнта</t>
  </si>
  <si>
    <t>До оплати зі знижками
(грн)</t>
  </si>
  <si>
    <t>Філе</t>
  </si>
  <si>
    <t>Крило</t>
  </si>
  <si>
    <t>Корпус</t>
  </si>
  <si>
    <t>Гомілка</t>
  </si>
  <si>
    <t>Спинка</t>
  </si>
  <si>
    <t>Тушка</t>
  </si>
  <si>
    <t>Бедро</t>
  </si>
  <si>
    <t>8.</t>
  </si>
  <si>
    <t>Частина курки</t>
  </si>
  <si>
    <t>BN43245</t>
  </si>
  <si>
    <t>AF56775</t>
  </si>
  <si>
    <t>GH43250</t>
  </si>
  <si>
    <t>UH54039</t>
  </si>
  <si>
    <r>
      <t xml:space="preserve">Знижка 2%
</t>
    </r>
    <r>
      <rPr>
        <b/>
        <sz val="10"/>
        <rFont val="Calibri"/>
        <family val="2"/>
        <charset val="204"/>
        <scheme val="minor"/>
      </rPr>
      <t>(якщо є картка)</t>
    </r>
  </si>
  <si>
    <r>
      <t xml:space="preserve">Знижка 10%
</t>
    </r>
    <r>
      <rPr>
        <b/>
        <sz val="10"/>
        <rFont val="Calibri"/>
        <family val="2"/>
        <charset val="204"/>
        <scheme val="minor"/>
      </rPr>
      <t>(якщо &gt; 20 кг)</t>
    </r>
  </si>
  <si>
    <r>
      <t xml:space="preserve">Старшокласник?
</t>
    </r>
    <r>
      <rPr>
        <sz val="10"/>
        <rFont val="Calibri"/>
        <family val="2"/>
        <charset val="204"/>
        <scheme val="minor"/>
      </rPr>
      <t>(&gt; 13 років)</t>
    </r>
  </si>
  <si>
    <r>
      <rPr>
        <b/>
        <sz val="11"/>
        <color theme="1"/>
        <rFont val="Calibri"/>
        <family val="2"/>
        <charset val="204"/>
        <scheme val="minor"/>
      </rPr>
      <t>Молодець?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sz val="10"/>
        <color theme="1"/>
        <rFont val="Calibri"/>
        <family val="2"/>
        <charset val="204"/>
        <scheme val="minor"/>
      </rPr>
      <t xml:space="preserve">(бал за </t>
    </r>
    <r>
      <rPr>
        <b/>
        <sz val="10"/>
        <color theme="1"/>
        <rFont val="Calibri"/>
        <family val="2"/>
        <charset val="204"/>
        <scheme val="minor"/>
      </rPr>
      <t>ІІ сем</t>
    </r>
    <r>
      <rPr>
        <sz val="10"/>
        <color theme="1"/>
        <rFont val="Calibri"/>
        <family val="2"/>
        <charset val="204"/>
        <scheme val="minor"/>
      </rPr>
      <t xml:space="preserve">
= 8 і вище)</t>
    </r>
  </si>
  <si>
    <t>Варіант 1</t>
  </si>
  <si>
    <t>Варіант 2</t>
  </si>
  <si>
    <t>Учасники Інтернет-олімпіади</t>
  </si>
  <si>
    <t>Колір очей</t>
  </si>
  <si>
    <t>сірі</t>
  </si>
  <si>
    <t>карі</t>
  </si>
  <si>
    <t>зелені</t>
  </si>
  <si>
    <t>Вербівська</t>
  </si>
  <si>
    <t>блакитні</t>
  </si>
  <si>
    <t>Гаркава</t>
  </si>
  <si>
    <t>Лілія</t>
  </si>
  <si>
    <t>Круглий</t>
  </si>
  <si>
    <t>Крута</t>
  </si>
  <si>
    <t>Михайло</t>
  </si>
  <si>
    <t>Наталія</t>
  </si>
  <si>
    <t>Січкар</t>
  </si>
  <si>
    <t>Соловйова</t>
  </si>
  <si>
    <t>Тетяна</t>
  </si>
  <si>
    <t>Сохацька</t>
  </si>
  <si>
    <t>Іван</t>
  </si>
  <si>
    <t>Янке</t>
  </si>
  <si>
    <t>не прямок.</t>
  </si>
</sst>
</file>

<file path=xl/styles.xml><?xml version="1.0" encoding="utf-8"?>
<styleSheet xmlns="http://schemas.openxmlformats.org/spreadsheetml/2006/main">
  <numFmts count="6">
    <numFmt numFmtId="44" formatCode="_-* #,##0.00&quot;₴&quot;_-;\-* #,##0.00&quot;₴&quot;_-;_-* &quot;-&quot;??&quot;₴&quot;_-;_-@_-"/>
    <numFmt numFmtId="43" formatCode="_-* #,##0.00_₴_-;\-* #,##0.00_₴_-;_-* &quot;-&quot;??_₴_-;_-@_-"/>
    <numFmt numFmtId="164" formatCode="_-* #,##0.00[$₴-422]_-;\-* #,##0.00[$₴-422]_-;_-* &quot;-&quot;??[$₴-422]_-;_-@_-"/>
    <numFmt numFmtId="165" formatCode="0.0"/>
    <numFmt numFmtId="166" formatCode="_-* #,##0\ &quot;грн.&quot;_-;\-* #,##0\ &quot;грн.&quot;_-;_-* &quot;-&quot;\ &quot;грн.&quot;_-;_-@_-"/>
    <numFmt numFmtId="167" formatCode="_-* #,##0.00\ &quot;грн.&quot;_-;\-* #,##0.00\ &quot;грн.&quot;_-;_-* &quot;-&quot;??\ &quot;грн.&quot;_-;_-@_-"/>
  </numFmts>
  <fonts count="37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name val="Arial Cyr"/>
      <charset val="204"/>
    </font>
    <font>
      <b/>
      <vertAlign val="superscript"/>
      <sz val="12"/>
      <name val="Arial Cyr"/>
      <charset val="204"/>
    </font>
    <font>
      <b/>
      <vertAlign val="subscript"/>
      <sz val="10"/>
      <name val="Arial Cyr"/>
      <charset val="204"/>
    </font>
    <font>
      <b/>
      <sz val="11"/>
      <name val="Calibri"/>
      <family val="2"/>
      <charset val="204"/>
      <scheme val="minor"/>
    </font>
    <font>
      <b/>
      <sz val="14"/>
      <color indexed="56"/>
      <name val="Arial"/>
      <family val="2"/>
      <charset val="204"/>
    </font>
    <font>
      <sz val="14"/>
      <color theme="1"/>
      <name val="Calibri"/>
      <family val="2"/>
      <charset val="204"/>
      <scheme val="minor"/>
    </font>
    <font>
      <b/>
      <sz val="12"/>
      <color indexed="56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i/>
      <sz val="11"/>
      <color indexed="8"/>
      <name val="Calibri"/>
      <family val="2"/>
      <charset val="204"/>
      <scheme val="minor"/>
    </font>
    <font>
      <sz val="11"/>
      <color indexed="8"/>
      <name val="Calibri"/>
      <family val="2"/>
      <charset val="204"/>
      <scheme val="minor"/>
    </font>
    <font>
      <b/>
      <sz val="11"/>
      <color indexed="8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10"/>
      <color rgb="FF0070C0"/>
      <name val="Calibri"/>
      <family val="2"/>
      <charset val="204"/>
      <scheme val="minor"/>
    </font>
    <font>
      <b/>
      <sz val="10"/>
      <color rgb="FF0070C0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b/>
      <sz val="11"/>
      <color rgb="FF0070C0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Calibri"/>
      <family val="2"/>
      <charset val="204"/>
      <scheme val="minor"/>
    </font>
    <font>
      <sz val="10"/>
      <name val="Arial"/>
      <family val="2"/>
      <charset val="204"/>
    </font>
    <font>
      <sz val="14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i/>
      <sz val="12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12"/>
      <name val="Arial Cyr"/>
      <charset val="204"/>
    </font>
    <font>
      <b/>
      <vertAlign val="superscript"/>
      <sz val="12"/>
      <name val="Calibri"/>
      <family val="2"/>
      <charset val="204"/>
      <scheme val="minor"/>
    </font>
    <font>
      <sz val="12"/>
      <name val="Times New Roman Cyr"/>
      <family val="1"/>
      <charset val="204"/>
    </font>
    <font>
      <b/>
      <sz val="14"/>
      <color theme="1"/>
      <name val="Calibri"/>
      <family val="2"/>
      <charset val="204"/>
      <scheme val="minor"/>
    </font>
    <font>
      <b/>
      <i/>
      <sz val="11"/>
      <name val="Calibri"/>
      <family val="2"/>
      <charset val="204"/>
      <scheme val="minor"/>
    </font>
    <font>
      <b/>
      <sz val="10"/>
      <name val="Arial Cyr"/>
      <charset val="204"/>
    </font>
    <font>
      <b/>
      <sz val="9"/>
      <color indexed="81"/>
      <name val="Tahoma"/>
      <charset val="1"/>
    </font>
  </fonts>
  <fills count="1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4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29"/>
      </left>
      <right style="medium">
        <color indexed="29"/>
      </right>
      <top style="medium">
        <color indexed="29"/>
      </top>
      <bottom style="medium">
        <color indexed="29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29"/>
      </left>
      <right style="medium">
        <color indexed="29"/>
      </right>
      <top/>
      <bottom style="medium">
        <color indexed="29"/>
      </bottom>
      <diagonal/>
    </border>
  </borders>
  <cellStyleXfs count="20">
    <xf numFmtId="0" fontId="0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23" fillId="0" borderId="0"/>
    <xf numFmtId="9" fontId="5" fillId="0" borderId="0" applyFont="0" applyFill="0" applyBorder="0" applyAlignment="0" applyProtection="0"/>
    <xf numFmtId="9" fontId="2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3" fillId="0" borderId="0"/>
    <xf numFmtId="0" fontId="5" fillId="0" borderId="0"/>
    <xf numFmtId="0" fontId="25" fillId="0" borderId="0"/>
    <xf numFmtId="167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152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3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9" xfId="0" applyBorder="1" applyAlignment="1">
      <alignment horizontal="left"/>
    </xf>
    <xf numFmtId="2" fontId="0" fillId="0" borderId="3" xfId="0" applyNumberFormat="1" applyBorder="1" applyAlignment="1">
      <alignment horizontal="left"/>
    </xf>
    <xf numFmtId="2" fontId="0" fillId="0" borderId="9" xfId="0" applyNumberFormat="1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0" xfId="0" applyBorder="1" applyAlignment="1">
      <alignment horizontal="left"/>
    </xf>
    <xf numFmtId="2" fontId="0" fillId="0" borderId="4" xfId="0" applyNumberFormat="1" applyBorder="1" applyAlignment="1">
      <alignment horizontal="left"/>
    </xf>
    <xf numFmtId="2" fontId="0" fillId="0" borderId="10" xfId="0" applyNumberFormat="1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2" xfId="0" applyBorder="1" applyAlignment="1">
      <alignment horizontal="left"/>
    </xf>
    <xf numFmtId="0" fontId="1" fillId="7" borderId="2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9" borderId="14" xfId="0" applyFont="1" applyFill="1" applyBorder="1" applyAlignment="1">
      <alignment horizontal="center" vertical="center" wrapText="1"/>
    </xf>
    <xf numFmtId="0" fontId="13" fillId="0" borderId="0" xfId="0" applyFont="1"/>
    <xf numFmtId="0" fontId="14" fillId="8" borderId="15" xfId="0" applyFont="1" applyFill="1" applyBorder="1" applyAlignment="1">
      <alignment vertical="justify" wrapText="1"/>
    </xf>
    <xf numFmtId="0" fontId="14" fillId="8" borderId="17" xfId="0" applyFont="1" applyFill="1" applyBorder="1" applyAlignment="1">
      <alignment vertical="justify" wrapText="1"/>
    </xf>
    <xf numFmtId="0" fontId="14" fillId="8" borderId="19" xfId="0" applyFont="1" applyFill="1" applyBorder="1" applyAlignment="1">
      <alignment vertical="justify" wrapText="1"/>
    </xf>
    <xf numFmtId="0" fontId="15" fillId="0" borderId="0" xfId="0" applyFont="1" applyBorder="1" applyAlignment="1">
      <alignment vertical="justify" wrapText="1"/>
    </xf>
    <xf numFmtId="164" fontId="15" fillId="0" borderId="13" xfId="0" applyNumberFormat="1" applyFont="1" applyBorder="1" applyAlignment="1">
      <alignment vertical="justify" wrapText="1"/>
    </xf>
    <xf numFmtId="164" fontId="15" fillId="0" borderId="1" xfId="0" applyNumberFormat="1" applyFont="1" applyBorder="1" applyAlignment="1">
      <alignment vertical="justify" wrapText="1"/>
    </xf>
    <xf numFmtId="164" fontId="15" fillId="0" borderId="21" xfId="0" applyNumberFormat="1" applyFont="1" applyBorder="1" applyAlignment="1">
      <alignment vertical="justify" wrapText="1"/>
    </xf>
    <xf numFmtId="0" fontId="15" fillId="0" borderId="12" xfId="1" applyNumberFormat="1" applyFont="1" applyBorder="1" applyAlignment="1">
      <alignment horizontal="center" vertical="center" wrapText="1"/>
    </xf>
    <xf numFmtId="0" fontId="15" fillId="0" borderId="8" xfId="1" applyNumberFormat="1" applyFont="1" applyBorder="1" applyAlignment="1">
      <alignment horizontal="center" vertical="center" wrapText="1"/>
    </xf>
    <xf numFmtId="0" fontId="15" fillId="0" borderId="20" xfId="1" applyNumberFormat="1" applyFont="1" applyBorder="1" applyAlignment="1">
      <alignment horizontal="center" vertical="center" wrapText="1"/>
    </xf>
    <xf numFmtId="0" fontId="15" fillId="0" borderId="22" xfId="0" applyFont="1" applyBorder="1" applyAlignment="1">
      <alignment vertical="justify" wrapText="1"/>
    </xf>
    <xf numFmtId="0" fontId="15" fillId="0" borderId="5" xfId="0" applyFont="1" applyFill="1" applyBorder="1" applyAlignment="1">
      <alignment vertical="justify" wrapText="1"/>
    </xf>
    <xf numFmtId="0" fontId="4" fillId="0" borderId="23" xfId="0" applyFont="1" applyBorder="1" applyAlignment="1">
      <alignment horizontal="right"/>
    </xf>
    <xf numFmtId="0" fontId="0" fillId="0" borderId="0" xfId="0" applyAlignment="1">
      <alignment horizontal="left"/>
    </xf>
    <xf numFmtId="2" fontId="0" fillId="0" borderId="11" xfId="0" applyNumberFormat="1" applyBorder="1" applyAlignment="1">
      <alignment horizontal="left"/>
    </xf>
    <xf numFmtId="2" fontId="0" fillId="0" borderId="12" xfId="0" applyNumberFormat="1" applyBorder="1" applyAlignment="1">
      <alignment horizontal="left"/>
    </xf>
    <xf numFmtId="0" fontId="18" fillId="0" borderId="0" xfId="0" applyFont="1"/>
    <xf numFmtId="0" fontId="0" fillId="2" borderId="1" xfId="0" applyFill="1" applyBorder="1" applyAlignment="1">
      <alignment horizontal="center" vertical="center" wrapText="1"/>
    </xf>
    <xf numFmtId="165" fontId="0" fillId="0" borderId="1" xfId="0" applyNumberFormat="1" applyBorder="1"/>
    <xf numFmtId="0" fontId="2" fillId="0" borderId="0" xfId="3" applyFont="1"/>
    <xf numFmtId="0" fontId="2" fillId="0" borderId="0" xfId="3" applyFont="1" applyAlignment="1">
      <alignment horizont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 wrapText="1"/>
    </xf>
    <xf numFmtId="0" fontId="2" fillId="3" borderId="1" xfId="3" applyFont="1" applyFill="1" applyBorder="1" applyAlignment="1">
      <alignment horizontal="center" vertical="center" wrapText="1"/>
    </xf>
    <xf numFmtId="0" fontId="26" fillId="0" borderId="0" xfId="3" applyFont="1"/>
    <xf numFmtId="0" fontId="27" fillId="0" borderId="0" xfId="3" applyFont="1" applyAlignment="1">
      <alignment horizontal="center"/>
    </xf>
    <xf numFmtId="0" fontId="11" fillId="0" borderId="0" xfId="3" applyFont="1"/>
    <xf numFmtId="0" fontId="24" fillId="0" borderId="0" xfId="3" applyFont="1"/>
    <xf numFmtId="0" fontId="23" fillId="0" borderId="0" xfId="3" applyFont="1"/>
    <xf numFmtId="0" fontId="23" fillId="0" borderId="0" xfId="3"/>
    <xf numFmtId="0" fontId="28" fillId="2" borderId="1" xfId="3" applyFont="1" applyFill="1" applyBorder="1" applyAlignment="1">
      <alignment horizontal="center"/>
    </xf>
    <xf numFmtId="0" fontId="29" fillId="2" borderId="1" xfId="3" applyFont="1" applyFill="1" applyBorder="1" applyAlignment="1">
      <alignment horizontal="center" vertical="center"/>
    </xf>
    <xf numFmtId="0" fontId="29" fillId="0" borderId="0" xfId="3" applyFont="1"/>
    <xf numFmtId="0" fontId="30" fillId="0" borderId="0" xfId="3" applyFont="1"/>
    <xf numFmtId="0" fontId="17" fillId="2" borderId="1" xfId="3" applyFont="1" applyFill="1" applyBorder="1" applyAlignment="1">
      <alignment horizontal="right"/>
    </xf>
    <xf numFmtId="0" fontId="17" fillId="9" borderId="1" xfId="3" applyFont="1" applyFill="1" applyBorder="1" applyAlignment="1">
      <alignment horizontal="center" vertical="center"/>
    </xf>
    <xf numFmtId="0" fontId="29" fillId="0" borderId="0" xfId="3" applyNumberFormat="1" applyFont="1" applyBorder="1" applyAlignment="1">
      <alignment horizontal="center" vertical="center"/>
    </xf>
    <xf numFmtId="0" fontId="32" fillId="0" borderId="0" xfId="3" applyFont="1"/>
    <xf numFmtId="0" fontId="27" fillId="0" borderId="0" xfId="3" applyFont="1" applyAlignment="1">
      <alignment horizontal="left"/>
    </xf>
    <xf numFmtId="0" fontId="27" fillId="0" borderId="0" xfId="3" applyFont="1" applyAlignment="1">
      <alignment horizontal="left" vertical="justify"/>
    </xf>
    <xf numFmtId="0" fontId="27" fillId="0" borderId="0" xfId="3" applyFont="1" applyAlignment="1">
      <alignment horizontal="left" vertical="center"/>
    </xf>
    <xf numFmtId="0" fontId="33" fillId="0" borderId="0" xfId="3" applyFont="1"/>
    <xf numFmtId="0" fontId="2" fillId="2" borderId="1" xfId="3" applyFont="1" applyFill="1" applyBorder="1" applyAlignment="1">
      <alignment horizontal="center" vertical="center"/>
    </xf>
    <xf numFmtId="0" fontId="2" fillId="0" borderId="1" xfId="3" applyFont="1" applyBorder="1" applyAlignment="1">
      <alignment horizontal="center" vertical="center"/>
    </xf>
    <xf numFmtId="0" fontId="2" fillId="0" borderId="1" xfId="3" applyFont="1" applyBorder="1" applyAlignment="1">
      <alignment vertical="center"/>
    </xf>
    <xf numFmtId="0" fontId="2" fillId="0" borderId="2" xfId="3" applyFont="1" applyBorder="1" applyAlignment="1">
      <alignment vertical="center"/>
    </xf>
    <xf numFmtId="0" fontId="23" fillId="12" borderId="1" xfId="3" applyFont="1" applyFill="1" applyBorder="1" applyAlignment="1">
      <alignment horizontal="center"/>
    </xf>
    <xf numFmtId="0" fontId="29" fillId="3" borderId="1" xfId="3" applyFont="1" applyFill="1" applyBorder="1" applyAlignment="1">
      <alignment horizontal="center" vertical="center" wrapText="1"/>
    </xf>
    <xf numFmtId="0" fontId="17" fillId="10" borderId="1" xfId="3" applyFont="1" applyFill="1" applyBorder="1" applyAlignment="1">
      <alignment horizontal="center" vertical="center" wrapText="1"/>
    </xf>
    <xf numFmtId="0" fontId="16" fillId="6" borderId="27" xfId="0" applyFont="1" applyFill="1" applyBorder="1" applyAlignment="1">
      <alignment horizontal="center" vertical="justify" wrapText="1"/>
    </xf>
    <xf numFmtId="44" fontId="15" fillId="0" borderId="13" xfId="2" applyFont="1" applyBorder="1" applyAlignment="1">
      <alignment horizontal="left" vertical="justify" wrapText="1"/>
    </xf>
    <xf numFmtId="44" fontId="15" fillId="0" borderId="1" xfId="2" applyFont="1" applyBorder="1" applyAlignment="1">
      <alignment horizontal="left" vertical="justify" wrapText="1"/>
    </xf>
    <xf numFmtId="44" fontId="15" fillId="0" borderId="21" xfId="2" applyFont="1" applyBorder="1" applyAlignment="1">
      <alignment horizontal="left" vertical="justify" wrapText="1"/>
    </xf>
    <xf numFmtId="44" fontId="16" fillId="6" borderId="22" xfId="2" applyFont="1" applyFill="1" applyBorder="1" applyAlignment="1">
      <alignment horizontal="left" vertical="justify" wrapText="1"/>
    </xf>
    <xf numFmtId="0" fontId="15" fillId="0" borderId="1" xfId="2" applyNumberFormat="1" applyFont="1" applyBorder="1" applyAlignment="1">
      <alignment horizontal="left" vertical="justify" wrapText="1"/>
    </xf>
    <xf numFmtId="0" fontId="15" fillId="0" borderId="0" xfId="0" applyFont="1" applyFill="1" applyBorder="1" applyAlignment="1">
      <alignment vertical="justify" wrapText="1"/>
    </xf>
    <xf numFmtId="0" fontId="15" fillId="0" borderId="29" xfId="0" applyFont="1" applyFill="1" applyBorder="1" applyAlignment="1">
      <alignment vertical="justify" wrapText="1"/>
    </xf>
    <xf numFmtId="0" fontId="15" fillId="0" borderId="22" xfId="0" applyFont="1" applyFill="1" applyBorder="1" applyAlignment="1">
      <alignment vertical="justify" wrapText="1"/>
    </xf>
    <xf numFmtId="0" fontId="15" fillId="0" borderId="30" xfId="0" applyFont="1" applyFill="1" applyBorder="1" applyAlignment="1">
      <alignment vertical="justify" wrapText="1"/>
    </xf>
    <xf numFmtId="0" fontId="0" fillId="0" borderId="31" xfId="0" applyBorder="1"/>
    <xf numFmtId="0" fontId="15" fillId="0" borderId="16" xfId="0" applyNumberFormat="1" applyFont="1" applyBorder="1" applyAlignment="1">
      <alignment horizontal="left" vertical="justify" wrapText="1"/>
    </xf>
    <xf numFmtId="0" fontId="15" fillId="0" borderId="18" xfId="0" applyNumberFormat="1" applyFont="1" applyBorder="1" applyAlignment="1">
      <alignment horizontal="left" vertical="justify" wrapText="1"/>
    </xf>
    <xf numFmtId="44" fontId="0" fillId="0" borderId="0" xfId="2" applyFont="1" applyAlignment="1">
      <alignment horizontal="left"/>
    </xf>
    <xf numFmtId="0" fontId="15" fillId="0" borderId="28" xfId="2" applyNumberFormat="1" applyFont="1" applyBorder="1" applyAlignment="1">
      <alignment horizontal="left" vertical="justify" wrapText="1"/>
    </xf>
    <xf numFmtId="0" fontId="15" fillId="0" borderId="12" xfId="2" applyNumberFormat="1" applyFont="1" applyBorder="1" applyAlignment="1">
      <alignment horizontal="left" vertical="justify" wrapText="1"/>
    </xf>
    <xf numFmtId="0" fontId="15" fillId="0" borderId="8" xfId="2" applyNumberFormat="1" applyFont="1" applyBorder="1" applyAlignment="1">
      <alignment horizontal="left" vertical="justify" wrapText="1"/>
    </xf>
    <xf numFmtId="0" fontId="15" fillId="0" borderId="21" xfId="2" applyNumberFormat="1" applyFont="1" applyBorder="1" applyAlignment="1">
      <alignment horizontal="left" vertical="justify" wrapText="1"/>
    </xf>
    <xf numFmtId="0" fontId="15" fillId="0" borderId="20" xfId="2" applyNumberFormat="1" applyFont="1" applyBorder="1" applyAlignment="1">
      <alignment horizontal="left" vertical="justify" wrapText="1"/>
    </xf>
    <xf numFmtId="0" fontId="16" fillId="6" borderId="28" xfId="2" applyNumberFormat="1" applyFont="1" applyFill="1" applyBorder="1" applyAlignment="1">
      <alignment horizontal="left" vertical="justify" wrapText="1"/>
    </xf>
    <xf numFmtId="0" fontId="15" fillId="0" borderId="13" xfId="0" applyNumberFormat="1" applyFont="1" applyBorder="1" applyAlignment="1">
      <alignment horizontal="center" vertical="center" wrapText="1"/>
    </xf>
    <xf numFmtId="0" fontId="15" fillId="0" borderId="1" xfId="0" applyNumberFormat="1" applyFont="1" applyBorder="1" applyAlignment="1">
      <alignment horizontal="center" vertical="center" wrapText="1"/>
    </xf>
    <xf numFmtId="0" fontId="15" fillId="0" borderId="1" xfId="2" applyNumberFormat="1" applyFont="1" applyBorder="1" applyAlignment="1">
      <alignment horizontal="center" vertical="center" wrapText="1"/>
    </xf>
    <xf numFmtId="0" fontId="15" fillId="0" borderId="21" xfId="0" applyNumberFormat="1" applyFont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2" fillId="9" borderId="32" xfId="0" applyFont="1" applyFill="1" applyBorder="1" applyAlignment="1">
      <alignment horizontal="center" vertical="center" wrapText="1"/>
    </xf>
    <xf numFmtId="0" fontId="14" fillId="8" borderId="33" xfId="0" applyFont="1" applyFill="1" applyBorder="1" applyAlignment="1">
      <alignment horizontal="center" vertical="justify" wrapText="1"/>
    </xf>
    <xf numFmtId="0" fontId="14" fillId="8" borderId="34" xfId="0" applyFont="1" applyFill="1" applyBorder="1" applyAlignment="1">
      <alignment horizontal="center" vertical="justify" wrapText="1"/>
    </xf>
    <xf numFmtId="0" fontId="14" fillId="8" borderId="35" xfId="0" applyFont="1" applyFill="1" applyBorder="1" applyAlignment="1">
      <alignment horizontal="center" vertical="justify" wrapText="1"/>
    </xf>
    <xf numFmtId="0" fontId="15" fillId="0" borderId="36" xfId="0" applyNumberFormat="1" applyFont="1" applyBorder="1" applyAlignment="1">
      <alignment horizontal="left" vertical="justify" wrapText="1"/>
    </xf>
    <xf numFmtId="0" fontId="1" fillId="0" borderId="8" xfId="0" applyFont="1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/>
    </xf>
    <xf numFmtId="0" fontId="0" fillId="6" borderId="26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0" borderId="0" xfId="15" applyFont="1"/>
    <xf numFmtId="0" fontId="27" fillId="0" borderId="6" xfId="0" applyFont="1" applyBorder="1" applyAlignment="1"/>
    <xf numFmtId="0" fontId="9" fillId="5" borderId="2" xfId="15" applyFont="1" applyFill="1" applyBorder="1" applyAlignment="1">
      <alignment horizontal="center" vertical="center" wrapText="1"/>
    </xf>
    <xf numFmtId="0" fontId="9" fillId="5" borderId="7" xfId="15" applyFont="1" applyFill="1" applyBorder="1" applyAlignment="1">
      <alignment horizontal="center" vertical="center" wrapText="1"/>
    </xf>
    <xf numFmtId="0" fontId="9" fillId="5" borderId="8" xfId="15" applyFont="1" applyFill="1" applyBorder="1" applyAlignment="1">
      <alignment horizontal="center" vertical="center" wrapText="1"/>
    </xf>
    <xf numFmtId="0" fontId="2" fillId="0" borderId="37" xfId="0" applyFont="1" applyBorder="1"/>
    <xf numFmtId="0" fontId="2" fillId="11" borderId="37" xfId="15" applyFont="1" applyFill="1" applyBorder="1"/>
    <xf numFmtId="0" fontId="2" fillId="0" borderId="37" xfId="15" applyFont="1" applyBorder="1" applyAlignment="1">
      <alignment horizontal="center"/>
    </xf>
    <xf numFmtId="0" fontId="2" fillId="11" borderId="37" xfId="15" applyFont="1" applyFill="1" applyBorder="1" applyAlignment="1">
      <alignment horizontal="center"/>
    </xf>
    <xf numFmtId="0" fontId="2" fillId="0" borderId="37" xfId="15" applyFont="1" applyBorder="1"/>
    <xf numFmtId="0" fontId="2" fillId="0" borderId="25" xfId="0" applyFont="1" applyBorder="1"/>
    <xf numFmtId="0" fontId="2" fillId="11" borderId="25" xfId="15" applyFont="1" applyFill="1" applyBorder="1"/>
    <xf numFmtId="0" fontId="2" fillId="0" borderId="25" xfId="15" applyFont="1" applyBorder="1" applyAlignment="1">
      <alignment horizontal="center"/>
    </xf>
    <xf numFmtId="0" fontId="2" fillId="11" borderId="25" xfId="15" applyFont="1" applyFill="1" applyBorder="1" applyAlignment="1">
      <alignment horizontal="center"/>
    </xf>
    <xf numFmtId="0" fontId="2" fillId="0" borderId="25" xfId="15" applyFont="1" applyBorder="1"/>
    <xf numFmtId="0" fontId="0" fillId="2" borderId="2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3" borderId="24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35" fillId="2" borderId="2" xfId="0" applyFont="1" applyFill="1" applyBorder="1" applyAlignment="1">
      <alignment horizontal="center" vertical="center" wrapText="1"/>
    </xf>
    <xf numFmtId="0" fontId="35" fillId="2" borderId="7" xfId="0" applyFont="1" applyFill="1" applyBorder="1" applyAlignment="1">
      <alignment horizontal="center" vertical="center" wrapText="1"/>
    </xf>
    <xf numFmtId="0" fontId="35" fillId="2" borderId="8" xfId="0" applyFont="1" applyFill="1" applyBorder="1" applyAlignment="1">
      <alignment horizontal="center" vertical="center" wrapText="1"/>
    </xf>
    <xf numFmtId="0" fontId="35" fillId="10" borderId="2" xfId="0" applyFont="1" applyFill="1" applyBorder="1" applyAlignment="1">
      <alignment horizontal="center" vertical="center" wrapText="1"/>
    </xf>
    <xf numFmtId="0" fontId="35" fillId="10" borderId="7" xfId="0" applyFont="1" applyFill="1" applyBorder="1" applyAlignment="1">
      <alignment horizontal="center" vertical="center" wrapText="1"/>
    </xf>
    <xf numFmtId="0" fontId="35" fillId="10" borderId="8" xfId="0" applyFont="1" applyFill="1" applyBorder="1" applyAlignment="1">
      <alignment horizontal="center" vertical="center" wrapText="1"/>
    </xf>
    <xf numFmtId="0" fontId="4" fillId="4" borderId="24" xfId="3" applyFont="1" applyFill="1" applyBorder="1" applyAlignment="1">
      <alignment horizontal="center" vertical="center"/>
    </xf>
    <xf numFmtId="0" fontId="4" fillId="4" borderId="26" xfId="3" applyFont="1" applyFill="1" applyBorder="1" applyAlignment="1">
      <alignment horizontal="center" vertical="center"/>
    </xf>
    <xf numFmtId="0" fontId="4" fillId="4" borderId="13" xfId="3" applyFont="1" applyFill="1" applyBorder="1" applyAlignment="1">
      <alignment horizontal="center" vertical="center"/>
    </xf>
    <xf numFmtId="0" fontId="1" fillId="12" borderId="2" xfId="3" applyFont="1" applyFill="1" applyBorder="1" applyAlignment="1">
      <alignment horizontal="right"/>
    </xf>
    <xf numFmtId="0" fontId="1" fillId="12" borderId="7" xfId="3" applyFont="1" applyFill="1" applyBorder="1" applyAlignment="1">
      <alignment horizontal="right"/>
    </xf>
    <xf numFmtId="0" fontId="34" fillId="2" borderId="1" xfId="3" applyFont="1" applyFill="1" applyBorder="1" applyAlignment="1">
      <alignment horizontal="center" vertical="center" wrapText="1"/>
    </xf>
    <xf numFmtId="0" fontId="34" fillId="2" borderId="1" xfId="3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</cellXfs>
  <cellStyles count="20">
    <cellStyle name="Відсотковий 2" xfId="4"/>
    <cellStyle name="Відсотковий 3" xfId="5"/>
    <cellStyle name="Грошовий" xfId="2" builtinId="4"/>
    <cellStyle name="Грошовий 2" xfId="6"/>
    <cellStyle name="Грошовий 3" xfId="7"/>
    <cellStyle name="Грошовий 4" xfId="8"/>
    <cellStyle name="Звичайний" xfId="0" builtinId="0"/>
    <cellStyle name="Звичайний 10" xfId="9"/>
    <cellStyle name="Звичайний 2" xfId="3"/>
    <cellStyle name="Звичайний 3" xfId="10"/>
    <cellStyle name="Звичайний 4" xfId="11"/>
    <cellStyle name="Звичайний 5" xfId="12"/>
    <cellStyle name="Звичайний 6" xfId="13"/>
    <cellStyle name="Звичайний 7" xfId="14"/>
    <cellStyle name="Звичайний 8" xfId="15"/>
    <cellStyle name="Звичайний 9" xfId="16"/>
    <cellStyle name="Обычный 2" xfId="17"/>
    <cellStyle name="Фінансовий" xfId="1" builtinId="3"/>
    <cellStyle name="Фінансовий 2" xfId="18"/>
    <cellStyle name="Фінансовий 3" xfId="1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1</xdr:row>
      <xdr:rowOff>47625</xdr:rowOff>
    </xdr:from>
    <xdr:to>
      <xdr:col>16</xdr:col>
      <xdr:colOff>209550</xdr:colOff>
      <xdr:row>6</xdr:row>
      <xdr:rowOff>73808</xdr:rowOff>
    </xdr:to>
    <xdr:sp macro="" textlink="">
      <xdr:nvSpPr>
        <xdr:cNvPr id="3" name="TextBox 23"/>
        <xdr:cNvSpPr txBox="1">
          <a:spLocks noChangeArrowheads="1"/>
        </xdr:cNvSpPr>
      </xdr:nvSpPr>
      <xdr:spPr bwMode="auto">
        <a:xfrm>
          <a:off x="7410450" y="47625"/>
          <a:ext cx="3771900" cy="1407308"/>
        </a:xfrm>
        <a:prstGeom prst="rect">
          <a:avLst/>
        </a:prstGeom>
        <a:ln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wrap="square">
          <a:spAutoFit/>
        </a:bodyPr>
        <a:lstStyle>
          <a:defPPr>
            <a:defRPr lang="ru-RU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ct val="150000"/>
            </a:lnSpc>
          </a:pPr>
          <a:r>
            <a:rPr lang="uk-UA" sz="1400"/>
            <a:t>=</a:t>
          </a:r>
          <a:r>
            <a:rPr lang="en-US" sz="1400" b="1"/>
            <a:t>IF</a:t>
          </a:r>
          <a:r>
            <a:rPr lang="uk-UA" sz="1400"/>
            <a:t>(</a:t>
          </a:r>
          <a:r>
            <a:rPr lang="en-US" sz="1400"/>
            <a:t>F6&gt;0; </a:t>
          </a:r>
          <a:r>
            <a:rPr lang="uk-UA" sz="1400"/>
            <a:t> </a:t>
          </a:r>
          <a:r>
            <a:rPr lang="uk-UA" sz="1400">
              <a:solidFill>
                <a:srgbClr val="0000FF"/>
              </a:solidFill>
            </a:rPr>
            <a:t>“прибуток”</a:t>
          </a:r>
          <a:r>
            <a:rPr lang="uk-UA" sz="1400"/>
            <a:t>; </a:t>
          </a:r>
          <a:r>
            <a:rPr lang="en-US" sz="1400"/>
            <a:t> </a:t>
          </a:r>
          <a:r>
            <a:rPr lang="uk-UA" sz="1400">
              <a:solidFill>
                <a:srgbClr val="FF0000"/>
              </a:solidFill>
            </a:rPr>
            <a:t>“збиток”</a:t>
          </a:r>
          <a:r>
            <a:rPr lang="uk-UA" sz="1400"/>
            <a:t>)</a:t>
          </a:r>
          <a:endParaRPr lang="en-US" sz="1400"/>
        </a:p>
        <a:p>
          <a:pPr>
            <a:lnSpc>
              <a:spcPct val="150000"/>
            </a:lnSpc>
          </a:pPr>
          <a:r>
            <a:rPr lang="uk-UA" sz="1400"/>
            <a:t>=</a:t>
          </a:r>
          <a:r>
            <a:rPr lang="en-US" sz="1400" b="1"/>
            <a:t>IF</a:t>
          </a:r>
          <a:r>
            <a:rPr lang="uk-UA" sz="1400"/>
            <a:t>(</a:t>
          </a:r>
          <a:r>
            <a:rPr lang="en-US" sz="1400"/>
            <a:t>B2=“</a:t>
          </a:r>
          <a:r>
            <a:rPr lang="uk-UA" sz="1400"/>
            <a:t>Київ</a:t>
          </a:r>
          <a:r>
            <a:rPr lang="en-US" sz="1400"/>
            <a:t>”; </a:t>
          </a:r>
          <a:r>
            <a:rPr lang="uk-UA" sz="1400"/>
            <a:t> </a:t>
          </a:r>
          <a:r>
            <a:rPr lang="uk-UA" sz="1400">
              <a:solidFill>
                <a:srgbClr val="0000FF"/>
              </a:solidFill>
            </a:rPr>
            <a:t>“живе в Києві”</a:t>
          </a:r>
          <a:r>
            <a:rPr lang="uk-UA" sz="1400"/>
            <a:t>; </a:t>
          </a:r>
          <a:r>
            <a:rPr lang="en-US" sz="1400"/>
            <a:t> </a:t>
          </a:r>
          <a:r>
            <a:rPr lang="uk-UA" sz="1400">
              <a:solidFill>
                <a:srgbClr val="FF0000"/>
              </a:solidFill>
            </a:rPr>
            <a:t>“не місцевий!”</a:t>
          </a:r>
          <a:r>
            <a:rPr lang="uk-UA" sz="1400"/>
            <a:t>)</a:t>
          </a:r>
          <a:endParaRPr lang="en-US" sz="1400"/>
        </a:p>
        <a:p>
          <a:pPr>
            <a:lnSpc>
              <a:spcPct val="150000"/>
            </a:lnSpc>
          </a:pPr>
          <a:r>
            <a:rPr lang="uk-UA" sz="1400"/>
            <a:t>=</a:t>
          </a:r>
          <a:r>
            <a:rPr lang="en-US" sz="1400" b="1"/>
            <a:t>IF</a:t>
          </a:r>
          <a:r>
            <a:rPr lang="uk-UA" sz="1400"/>
            <a:t>(В5</a:t>
          </a:r>
          <a:r>
            <a:rPr lang="en-US" sz="1400"/>
            <a:t>^2&lt;=4*</a:t>
          </a:r>
          <a:r>
            <a:rPr lang="uk-UA" sz="1400"/>
            <a:t>А</a:t>
          </a:r>
          <a:r>
            <a:rPr lang="en-US" sz="1400"/>
            <a:t>5*</a:t>
          </a:r>
          <a:r>
            <a:rPr lang="uk-UA" sz="1400"/>
            <a:t>С</a:t>
          </a:r>
          <a:r>
            <a:rPr lang="en-US" sz="1400"/>
            <a:t>5;  </a:t>
          </a:r>
          <a:r>
            <a:rPr lang="en-US" sz="1400">
              <a:solidFill>
                <a:srgbClr val="0000FF"/>
              </a:solidFill>
            </a:rPr>
            <a:t>“</a:t>
          </a:r>
          <a:r>
            <a:rPr lang="uk-UA" sz="1400">
              <a:solidFill>
                <a:srgbClr val="0000FF"/>
              </a:solidFill>
            </a:rPr>
            <a:t>нема р-ів</a:t>
          </a:r>
          <a:r>
            <a:rPr lang="en-US" sz="1400">
              <a:solidFill>
                <a:srgbClr val="0000FF"/>
              </a:solidFill>
            </a:rPr>
            <a:t>”</a:t>
          </a:r>
          <a:r>
            <a:rPr lang="en-US" sz="1400"/>
            <a:t>;  </a:t>
          </a:r>
          <a:r>
            <a:rPr lang="uk-UA" sz="1400">
              <a:solidFill>
                <a:srgbClr val="FF0000"/>
              </a:solidFill>
            </a:rPr>
            <a:t>“є!!!”</a:t>
          </a:r>
          <a:r>
            <a:rPr lang="en-US" sz="1400"/>
            <a:t>)</a:t>
          </a:r>
        </a:p>
        <a:p>
          <a:pPr>
            <a:lnSpc>
              <a:spcPct val="150000"/>
            </a:lnSpc>
          </a:pPr>
          <a:r>
            <a:rPr lang="en-US" sz="1400"/>
            <a:t>=</a:t>
          </a:r>
          <a:r>
            <a:rPr lang="en-US" sz="1400" b="1"/>
            <a:t>IF</a:t>
          </a:r>
          <a:r>
            <a:rPr lang="uk-UA" sz="1400"/>
            <a:t>(</a:t>
          </a:r>
          <a:r>
            <a:rPr lang="en-US" sz="1400"/>
            <a:t>SUM</a:t>
          </a:r>
          <a:r>
            <a:rPr lang="uk-UA" sz="1400"/>
            <a:t>(А1:С6)</a:t>
          </a:r>
          <a:r>
            <a:rPr lang="en-US" sz="1400"/>
            <a:t>&lt;&gt;400;  </a:t>
          </a:r>
          <a:r>
            <a:rPr lang="en-US" sz="1400">
              <a:solidFill>
                <a:srgbClr val="0000FF"/>
              </a:solidFill>
            </a:rPr>
            <a:t>C5*2+1</a:t>
          </a:r>
          <a:r>
            <a:rPr lang="uk-UA" sz="1400"/>
            <a:t>; </a:t>
          </a:r>
          <a:r>
            <a:rPr lang="en-US" sz="1400"/>
            <a:t> </a:t>
          </a:r>
          <a:r>
            <a:rPr lang="uk-UA" sz="1400">
              <a:solidFill>
                <a:srgbClr val="FF0000"/>
              </a:solidFill>
            </a:rPr>
            <a:t>“</a:t>
          </a:r>
          <a:r>
            <a:rPr lang="en-US" sz="1400">
              <a:solidFill>
                <a:srgbClr val="FF0000"/>
              </a:solidFill>
            </a:rPr>
            <a:t> </a:t>
          </a:r>
          <a:r>
            <a:rPr lang="uk-UA" sz="1400">
              <a:solidFill>
                <a:srgbClr val="FF0000"/>
              </a:solidFill>
            </a:rPr>
            <a:t>”</a:t>
          </a:r>
          <a:r>
            <a:rPr lang="uk-UA" sz="1400"/>
            <a:t>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0</xdr:row>
      <xdr:rowOff>38100</xdr:rowOff>
    </xdr:from>
    <xdr:to>
      <xdr:col>13</xdr:col>
      <xdr:colOff>209550</xdr:colOff>
      <xdr:row>6</xdr:row>
      <xdr:rowOff>111908</xdr:rowOff>
    </xdr:to>
    <xdr:sp macro="" textlink="">
      <xdr:nvSpPr>
        <xdr:cNvPr id="2" name="TextBox 23"/>
        <xdr:cNvSpPr txBox="1">
          <a:spLocks noChangeArrowheads="1"/>
        </xdr:cNvSpPr>
      </xdr:nvSpPr>
      <xdr:spPr bwMode="auto">
        <a:xfrm>
          <a:off x="5505450" y="38100"/>
          <a:ext cx="3771900" cy="1407308"/>
        </a:xfrm>
        <a:prstGeom prst="rect">
          <a:avLst/>
        </a:prstGeom>
        <a:ln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wrap="square">
          <a:spAutoFit/>
        </a:bodyPr>
        <a:lstStyle>
          <a:defPPr>
            <a:defRPr lang="ru-RU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ct val="150000"/>
            </a:lnSpc>
          </a:pPr>
          <a:r>
            <a:rPr lang="uk-UA" sz="1400"/>
            <a:t>=</a:t>
          </a:r>
          <a:r>
            <a:rPr lang="en-US" sz="1400" b="1"/>
            <a:t>IF</a:t>
          </a:r>
          <a:r>
            <a:rPr lang="uk-UA" sz="1400"/>
            <a:t>(</a:t>
          </a:r>
          <a:r>
            <a:rPr lang="en-US" sz="1400"/>
            <a:t>F6&gt;0; </a:t>
          </a:r>
          <a:r>
            <a:rPr lang="uk-UA" sz="1400"/>
            <a:t> </a:t>
          </a:r>
          <a:r>
            <a:rPr lang="uk-UA" sz="1400">
              <a:solidFill>
                <a:srgbClr val="0000FF"/>
              </a:solidFill>
            </a:rPr>
            <a:t>“прибуток”</a:t>
          </a:r>
          <a:r>
            <a:rPr lang="uk-UA" sz="1400"/>
            <a:t>; </a:t>
          </a:r>
          <a:r>
            <a:rPr lang="en-US" sz="1400"/>
            <a:t> </a:t>
          </a:r>
          <a:r>
            <a:rPr lang="uk-UA" sz="1400">
              <a:solidFill>
                <a:srgbClr val="FF0000"/>
              </a:solidFill>
            </a:rPr>
            <a:t>“збиток”</a:t>
          </a:r>
          <a:r>
            <a:rPr lang="uk-UA" sz="1400"/>
            <a:t>)</a:t>
          </a:r>
          <a:endParaRPr lang="en-US" sz="1400"/>
        </a:p>
        <a:p>
          <a:pPr>
            <a:lnSpc>
              <a:spcPct val="150000"/>
            </a:lnSpc>
          </a:pPr>
          <a:r>
            <a:rPr lang="uk-UA" sz="1400"/>
            <a:t>=</a:t>
          </a:r>
          <a:r>
            <a:rPr lang="en-US" sz="1400" b="1"/>
            <a:t>IF</a:t>
          </a:r>
          <a:r>
            <a:rPr lang="uk-UA" sz="1400"/>
            <a:t>(</a:t>
          </a:r>
          <a:r>
            <a:rPr lang="en-US" sz="1400"/>
            <a:t>B2=“</a:t>
          </a:r>
          <a:r>
            <a:rPr lang="uk-UA" sz="1400"/>
            <a:t>Київ</a:t>
          </a:r>
          <a:r>
            <a:rPr lang="en-US" sz="1400"/>
            <a:t>”; </a:t>
          </a:r>
          <a:r>
            <a:rPr lang="uk-UA" sz="1400"/>
            <a:t> </a:t>
          </a:r>
          <a:r>
            <a:rPr lang="uk-UA" sz="1400">
              <a:solidFill>
                <a:srgbClr val="0000FF"/>
              </a:solidFill>
            </a:rPr>
            <a:t>“живе в Києві”</a:t>
          </a:r>
          <a:r>
            <a:rPr lang="uk-UA" sz="1400"/>
            <a:t>; </a:t>
          </a:r>
          <a:r>
            <a:rPr lang="en-US" sz="1400"/>
            <a:t> </a:t>
          </a:r>
          <a:r>
            <a:rPr lang="uk-UA" sz="1400">
              <a:solidFill>
                <a:srgbClr val="FF0000"/>
              </a:solidFill>
            </a:rPr>
            <a:t>“не місцевий!”</a:t>
          </a:r>
          <a:r>
            <a:rPr lang="uk-UA" sz="1400"/>
            <a:t>)</a:t>
          </a:r>
          <a:endParaRPr lang="en-US" sz="1400"/>
        </a:p>
        <a:p>
          <a:pPr>
            <a:lnSpc>
              <a:spcPct val="150000"/>
            </a:lnSpc>
          </a:pPr>
          <a:r>
            <a:rPr lang="uk-UA" sz="1400"/>
            <a:t>=</a:t>
          </a:r>
          <a:r>
            <a:rPr lang="en-US" sz="1400" b="1"/>
            <a:t>IF</a:t>
          </a:r>
          <a:r>
            <a:rPr lang="uk-UA" sz="1400"/>
            <a:t>(</a:t>
          </a:r>
          <a:r>
            <a:rPr lang="uk-UA" sz="140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В5</a:t>
          </a:r>
          <a:r>
            <a:rPr lang="en-US" sz="140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^2&lt;=4*</a:t>
          </a:r>
          <a:r>
            <a:rPr lang="uk-UA" sz="140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</a:t>
          </a:r>
          <a:r>
            <a:rPr lang="en-US" sz="140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5*</a:t>
          </a:r>
          <a:r>
            <a:rPr lang="uk-UA" sz="140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</a:t>
          </a:r>
          <a:r>
            <a:rPr lang="en-US" sz="140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  <a:r>
            <a:rPr lang="en-US" sz="1400"/>
            <a:t>;  </a:t>
          </a:r>
          <a:r>
            <a:rPr lang="en-US" sz="1400">
              <a:solidFill>
                <a:srgbClr val="0000FF"/>
              </a:solidFill>
            </a:rPr>
            <a:t>“</a:t>
          </a:r>
          <a:r>
            <a:rPr lang="uk-UA" sz="1400">
              <a:solidFill>
                <a:srgbClr val="0000FF"/>
              </a:solidFill>
            </a:rPr>
            <a:t>нема р-ів</a:t>
          </a:r>
          <a:r>
            <a:rPr lang="en-US" sz="1400">
              <a:solidFill>
                <a:srgbClr val="0000FF"/>
              </a:solidFill>
            </a:rPr>
            <a:t>”</a:t>
          </a:r>
          <a:r>
            <a:rPr lang="en-US" sz="1400"/>
            <a:t>;  </a:t>
          </a:r>
          <a:r>
            <a:rPr lang="uk-UA" sz="1400">
              <a:solidFill>
                <a:srgbClr val="FF0000"/>
              </a:solidFill>
            </a:rPr>
            <a:t>“є!!!”</a:t>
          </a:r>
          <a:r>
            <a:rPr lang="en-US" sz="1400"/>
            <a:t>)</a:t>
          </a:r>
        </a:p>
        <a:p>
          <a:pPr>
            <a:lnSpc>
              <a:spcPct val="150000"/>
            </a:lnSpc>
          </a:pPr>
          <a:r>
            <a:rPr lang="en-US" sz="1400"/>
            <a:t>=</a:t>
          </a:r>
          <a:r>
            <a:rPr lang="en-US" sz="1400" b="1"/>
            <a:t>IF</a:t>
          </a:r>
          <a:r>
            <a:rPr lang="uk-UA" sz="1400"/>
            <a:t>(</a:t>
          </a:r>
          <a:r>
            <a:rPr lang="en-US" sz="1400"/>
            <a:t>SUM</a:t>
          </a:r>
          <a:r>
            <a:rPr lang="uk-UA" sz="1400"/>
            <a:t>(А1:С6)</a:t>
          </a:r>
          <a:r>
            <a:rPr lang="en-US" sz="1400"/>
            <a:t>&lt;&gt;400;  </a:t>
          </a:r>
          <a:r>
            <a:rPr lang="en-US" sz="1400">
              <a:solidFill>
                <a:srgbClr val="0000FF"/>
              </a:solidFill>
            </a:rPr>
            <a:t>C5*2+1</a:t>
          </a:r>
          <a:r>
            <a:rPr lang="uk-UA" sz="1400"/>
            <a:t>; </a:t>
          </a:r>
          <a:r>
            <a:rPr lang="en-US" sz="1400"/>
            <a:t> </a:t>
          </a:r>
          <a:r>
            <a:rPr lang="uk-UA" sz="1400">
              <a:solidFill>
                <a:srgbClr val="FF0000"/>
              </a:solidFill>
            </a:rPr>
            <a:t>“</a:t>
          </a:r>
          <a:r>
            <a:rPr lang="en-US" sz="1400">
              <a:solidFill>
                <a:srgbClr val="FF0000"/>
              </a:solidFill>
            </a:rPr>
            <a:t> </a:t>
          </a:r>
          <a:r>
            <a:rPr lang="uk-UA" sz="1400">
              <a:solidFill>
                <a:srgbClr val="FF0000"/>
              </a:solidFill>
            </a:rPr>
            <a:t>”</a:t>
          </a:r>
          <a:r>
            <a:rPr lang="uk-UA" sz="1400"/>
            <a:t>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476250</xdr:colOff>
      <xdr:row>0</xdr:row>
      <xdr:rowOff>104775</xdr:rowOff>
    </xdr:from>
    <xdr:to>
      <xdr:col>16</xdr:col>
      <xdr:colOff>590550</xdr:colOff>
      <xdr:row>5</xdr:row>
      <xdr:rowOff>83333</xdr:rowOff>
    </xdr:to>
    <xdr:sp macro="" textlink="">
      <xdr:nvSpPr>
        <xdr:cNvPr id="4" name="TextBox 23"/>
        <xdr:cNvSpPr txBox="1">
          <a:spLocks noChangeArrowheads="1"/>
        </xdr:cNvSpPr>
      </xdr:nvSpPr>
      <xdr:spPr bwMode="auto">
        <a:xfrm>
          <a:off x="6562725" y="104775"/>
          <a:ext cx="3771900" cy="1407308"/>
        </a:xfrm>
        <a:prstGeom prst="rect">
          <a:avLst/>
        </a:prstGeom>
        <a:ln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wrap="square">
          <a:spAutoFit/>
        </a:bodyPr>
        <a:lstStyle>
          <a:defPPr>
            <a:defRPr lang="ru-RU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ct val="150000"/>
            </a:lnSpc>
          </a:pPr>
          <a:r>
            <a:rPr lang="uk-UA" sz="1400"/>
            <a:t>=</a:t>
          </a:r>
          <a:r>
            <a:rPr lang="en-US" sz="1400" b="1"/>
            <a:t>IF</a:t>
          </a:r>
          <a:r>
            <a:rPr lang="uk-UA" sz="1400"/>
            <a:t>(</a:t>
          </a:r>
          <a:r>
            <a:rPr lang="en-US" sz="1400"/>
            <a:t>F6&gt;0; </a:t>
          </a:r>
          <a:r>
            <a:rPr lang="uk-UA" sz="1400"/>
            <a:t> </a:t>
          </a:r>
          <a:r>
            <a:rPr lang="uk-UA" sz="1400">
              <a:solidFill>
                <a:srgbClr val="0000FF"/>
              </a:solidFill>
            </a:rPr>
            <a:t>“прибуток”</a:t>
          </a:r>
          <a:r>
            <a:rPr lang="uk-UA" sz="1400"/>
            <a:t>; </a:t>
          </a:r>
          <a:r>
            <a:rPr lang="en-US" sz="1400"/>
            <a:t> </a:t>
          </a:r>
          <a:r>
            <a:rPr lang="uk-UA" sz="1400">
              <a:solidFill>
                <a:srgbClr val="FF0000"/>
              </a:solidFill>
            </a:rPr>
            <a:t>“збиток”</a:t>
          </a:r>
          <a:r>
            <a:rPr lang="uk-UA" sz="1400"/>
            <a:t>)</a:t>
          </a:r>
          <a:endParaRPr lang="en-US" sz="1400"/>
        </a:p>
        <a:p>
          <a:pPr>
            <a:lnSpc>
              <a:spcPct val="150000"/>
            </a:lnSpc>
          </a:pPr>
          <a:r>
            <a:rPr lang="uk-UA" sz="1400"/>
            <a:t>=</a:t>
          </a:r>
          <a:r>
            <a:rPr lang="en-US" sz="1400" b="1"/>
            <a:t>IF</a:t>
          </a:r>
          <a:r>
            <a:rPr lang="uk-UA" sz="1400"/>
            <a:t>(</a:t>
          </a:r>
          <a:r>
            <a:rPr lang="en-US" sz="1400"/>
            <a:t>B2=“</a:t>
          </a:r>
          <a:r>
            <a:rPr lang="uk-UA" sz="1400"/>
            <a:t>Київ</a:t>
          </a:r>
          <a:r>
            <a:rPr lang="en-US" sz="1400"/>
            <a:t>”; </a:t>
          </a:r>
          <a:r>
            <a:rPr lang="uk-UA" sz="1400"/>
            <a:t> </a:t>
          </a:r>
          <a:r>
            <a:rPr lang="uk-UA" sz="1400">
              <a:solidFill>
                <a:srgbClr val="0000FF"/>
              </a:solidFill>
            </a:rPr>
            <a:t>“живе в Києві”</a:t>
          </a:r>
          <a:r>
            <a:rPr lang="uk-UA" sz="1400"/>
            <a:t>; </a:t>
          </a:r>
          <a:r>
            <a:rPr lang="en-US" sz="1400"/>
            <a:t> </a:t>
          </a:r>
          <a:r>
            <a:rPr lang="uk-UA" sz="1400">
              <a:solidFill>
                <a:srgbClr val="FF0000"/>
              </a:solidFill>
            </a:rPr>
            <a:t>“не місцевий!”</a:t>
          </a:r>
          <a:r>
            <a:rPr lang="uk-UA" sz="1400"/>
            <a:t>)</a:t>
          </a:r>
          <a:endParaRPr lang="en-US" sz="1400"/>
        </a:p>
        <a:p>
          <a:pPr>
            <a:lnSpc>
              <a:spcPct val="150000"/>
            </a:lnSpc>
          </a:pPr>
          <a:r>
            <a:rPr lang="uk-UA" sz="1400"/>
            <a:t>=</a:t>
          </a:r>
          <a:r>
            <a:rPr lang="en-US" sz="1400" b="1"/>
            <a:t>IF</a:t>
          </a:r>
          <a:r>
            <a:rPr lang="uk-UA" sz="1400"/>
            <a:t>(</a:t>
          </a:r>
          <a:r>
            <a:rPr lang="en-US" sz="1400"/>
            <a:t>B</a:t>
          </a:r>
          <a:r>
            <a:rPr lang="uk-UA" sz="1400"/>
            <a:t>5</a:t>
          </a:r>
          <a:r>
            <a:rPr lang="en-US" sz="1400"/>
            <a:t>^2&lt;=4*A5*C5;  </a:t>
          </a:r>
          <a:r>
            <a:rPr lang="en-US" sz="1400">
              <a:solidFill>
                <a:srgbClr val="0000FF"/>
              </a:solidFill>
            </a:rPr>
            <a:t>“</a:t>
          </a:r>
          <a:r>
            <a:rPr lang="uk-UA" sz="1400">
              <a:solidFill>
                <a:srgbClr val="0000FF"/>
              </a:solidFill>
            </a:rPr>
            <a:t>нема р-ів</a:t>
          </a:r>
          <a:r>
            <a:rPr lang="en-US" sz="1400">
              <a:solidFill>
                <a:srgbClr val="0000FF"/>
              </a:solidFill>
            </a:rPr>
            <a:t>”</a:t>
          </a:r>
          <a:r>
            <a:rPr lang="en-US" sz="1400"/>
            <a:t>;  </a:t>
          </a:r>
          <a:r>
            <a:rPr lang="uk-UA" sz="1400">
              <a:solidFill>
                <a:srgbClr val="FF0000"/>
              </a:solidFill>
            </a:rPr>
            <a:t>“є!!!”</a:t>
          </a:r>
          <a:r>
            <a:rPr lang="en-US" sz="1400"/>
            <a:t>)</a:t>
          </a:r>
        </a:p>
        <a:p>
          <a:pPr>
            <a:lnSpc>
              <a:spcPct val="150000"/>
            </a:lnSpc>
          </a:pPr>
          <a:r>
            <a:rPr lang="en-US" sz="1400"/>
            <a:t>=</a:t>
          </a:r>
          <a:r>
            <a:rPr lang="en-US" sz="1400" b="1"/>
            <a:t>IF</a:t>
          </a:r>
          <a:r>
            <a:rPr lang="uk-UA" sz="1400"/>
            <a:t>(</a:t>
          </a:r>
          <a:r>
            <a:rPr lang="en-US" sz="1400"/>
            <a:t>SUM</a:t>
          </a:r>
          <a:r>
            <a:rPr lang="uk-UA" sz="1400"/>
            <a:t>(А1:С6)</a:t>
          </a:r>
          <a:r>
            <a:rPr lang="en-US" sz="1400"/>
            <a:t>&lt;&gt;400;  </a:t>
          </a:r>
          <a:r>
            <a:rPr lang="en-US" sz="1400">
              <a:solidFill>
                <a:srgbClr val="0000FF"/>
              </a:solidFill>
            </a:rPr>
            <a:t>C5*2+1</a:t>
          </a:r>
          <a:r>
            <a:rPr lang="uk-UA" sz="1400"/>
            <a:t>; </a:t>
          </a:r>
          <a:r>
            <a:rPr lang="en-US" sz="1400"/>
            <a:t> </a:t>
          </a:r>
          <a:r>
            <a:rPr lang="uk-UA" sz="1400">
              <a:solidFill>
                <a:srgbClr val="FF0000"/>
              </a:solidFill>
            </a:rPr>
            <a:t>“</a:t>
          </a:r>
          <a:r>
            <a:rPr lang="en-US" sz="1400">
              <a:solidFill>
                <a:srgbClr val="FF0000"/>
              </a:solidFill>
            </a:rPr>
            <a:t> </a:t>
          </a:r>
          <a:r>
            <a:rPr lang="uk-UA" sz="1400">
              <a:solidFill>
                <a:srgbClr val="FF0000"/>
              </a:solidFill>
            </a:rPr>
            <a:t>”</a:t>
          </a:r>
          <a:r>
            <a:rPr lang="uk-UA" sz="1400"/>
            <a:t>)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14</xdr:row>
      <xdr:rowOff>57150</xdr:rowOff>
    </xdr:from>
    <xdr:to>
      <xdr:col>8</xdr:col>
      <xdr:colOff>600075</xdr:colOff>
      <xdr:row>23</xdr:row>
      <xdr:rowOff>7133</xdr:rowOff>
    </xdr:to>
    <xdr:sp macro="" textlink="">
      <xdr:nvSpPr>
        <xdr:cNvPr id="2" name="TextBox 23"/>
        <xdr:cNvSpPr txBox="1">
          <a:spLocks noChangeArrowheads="1"/>
        </xdr:cNvSpPr>
      </xdr:nvSpPr>
      <xdr:spPr bwMode="auto">
        <a:xfrm>
          <a:off x="2333625" y="3171825"/>
          <a:ext cx="3771900" cy="1407308"/>
        </a:xfrm>
        <a:prstGeom prst="rect">
          <a:avLst/>
        </a:prstGeom>
        <a:ln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wrap="square">
          <a:spAutoFit/>
        </a:bodyPr>
        <a:lstStyle>
          <a:defPPr>
            <a:defRPr lang="ru-RU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ct val="150000"/>
            </a:lnSpc>
          </a:pPr>
          <a:r>
            <a:rPr lang="uk-UA" sz="1400"/>
            <a:t>=</a:t>
          </a:r>
          <a:r>
            <a:rPr lang="en-US" sz="1400" b="1"/>
            <a:t>IF</a:t>
          </a:r>
          <a:r>
            <a:rPr lang="uk-UA" sz="1400"/>
            <a:t>(</a:t>
          </a:r>
          <a:r>
            <a:rPr lang="en-US" sz="1400"/>
            <a:t>F6&gt;0; </a:t>
          </a:r>
          <a:r>
            <a:rPr lang="uk-UA" sz="1400"/>
            <a:t> </a:t>
          </a:r>
          <a:r>
            <a:rPr lang="uk-UA" sz="1400">
              <a:solidFill>
                <a:srgbClr val="0000FF"/>
              </a:solidFill>
            </a:rPr>
            <a:t>“прибуток”</a:t>
          </a:r>
          <a:r>
            <a:rPr lang="uk-UA" sz="1400"/>
            <a:t>; </a:t>
          </a:r>
          <a:r>
            <a:rPr lang="en-US" sz="1400"/>
            <a:t> </a:t>
          </a:r>
          <a:r>
            <a:rPr lang="uk-UA" sz="1400">
              <a:solidFill>
                <a:srgbClr val="FF0000"/>
              </a:solidFill>
            </a:rPr>
            <a:t>“збиток”</a:t>
          </a:r>
          <a:r>
            <a:rPr lang="uk-UA" sz="1400"/>
            <a:t>)</a:t>
          </a:r>
          <a:endParaRPr lang="en-US" sz="1400"/>
        </a:p>
        <a:p>
          <a:pPr>
            <a:lnSpc>
              <a:spcPct val="150000"/>
            </a:lnSpc>
          </a:pPr>
          <a:r>
            <a:rPr lang="uk-UA" sz="1400"/>
            <a:t>=</a:t>
          </a:r>
          <a:r>
            <a:rPr lang="en-US" sz="1400" b="1"/>
            <a:t>IF</a:t>
          </a:r>
          <a:r>
            <a:rPr lang="uk-UA" sz="1400"/>
            <a:t>(</a:t>
          </a:r>
          <a:r>
            <a:rPr lang="en-US" sz="1400"/>
            <a:t>B2=“</a:t>
          </a:r>
          <a:r>
            <a:rPr lang="uk-UA" sz="1400"/>
            <a:t>Київ</a:t>
          </a:r>
          <a:r>
            <a:rPr lang="en-US" sz="1400"/>
            <a:t>”; </a:t>
          </a:r>
          <a:r>
            <a:rPr lang="uk-UA" sz="1400"/>
            <a:t> </a:t>
          </a:r>
          <a:r>
            <a:rPr lang="uk-UA" sz="1400">
              <a:solidFill>
                <a:srgbClr val="0000FF"/>
              </a:solidFill>
            </a:rPr>
            <a:t>“живе в Києві”</a:t>
          </a:r>
          <a:r>
            <a:rPr lang="uk-UA" sz="1400"/>
            <a:t>; </a:t>
          </a:r>
          <a:r>
            <a:rPr lang="en-US" sz="1400"/>
            <a:t> </a:t>
          </a:r>
          <a:r>
            <a:rPr lang="uk-UA" sz="1400">
              <a:solidFill>
                <a:srgbClr val="FF0000"/>
              </a:solidFill>
            </a:rPr>
            <a:t>“не місцевий!”</a:t>
          </a:r>
          <a:r>
            <a:rPr lang="uk-UA" sz="1400"/>
            <a:t>)</a:t>
          </a:r>
          <a:endParaRPr lang="en-US" sz="1400"/>
        </a:p>
        <a:p>
          <a:pPr>
            <a:lnSpc>
              <a:spcPct val="150000"/>
            </a:lnSpc>
          </a:pPr>
          <a:r>
            <a:rPr lang="uk-UA" sz="1400"/>
            <a:t>=</a:t>
          </a:r>
          <a:r>
            <a:rPr lang="en-US" sz="1400" b="1"/>
            <a:t>IF</a:t>
          </a:r>
          <a:r>
            <a:rPr lang="uk-UA" sz="1400"/>
            <a:t>(</a:t>
          </a:r>
          <a:r>
            <a:rPr lang="en-US" sz="1400"/>
            <a:t>B</a:t>
          </a:r>
          <a:r>
            <a:rPr lang="uk-UA" sz="1400"/>
            <a:t>5</a:t>
          </a:r>
          <a:r>
            <a:rPr lang="en-US" sz="1400"/>
            <a:t>^2&lt;=4*A5*B5;  </a:t>
          </a:r>
          <a:r>
            <a:rPr lang="en-US" sz="1400">
              <a:solidFill>
                <a:srgbClr val="0000FF"/>
              </a:solidFill>
            </a:rPr>
            <a:t>“</a:t>
          </a:r>
          <a:r>
            <a:rPr lang="uk-UA" sz="1400">
              <a:solidFill>
                <a:srgbClr val="0000FF"/>
              </a:solidFill>
            </a:rPr>
            <a:t>нема р-ів</a:t>
          </a:r>
          <a:r>
            <a:rPr lang="en-US" sz="1400">
              <a:solidFill>
                <a:srgbClr val="0000FF"/>
              </a:solidFill>
            </a:rPr>
            <a:t>”</a:t>
          </a:r>
          <a:r>
            <a:rPr lang="en-US" sz="1400"/>
            <a:t>;  </a:t>
          </a:r>
          <a:r>
            <a:rPr lang="uk-UA" sz="1400">
              <a:solidFill>
                <a:srgbClr val="FF0000"/>
              </a:solidFill>
            </a:rPr>
            <a:t>“є!!!”</a:t>
          </a:r>
          <a:r>
            <a:rPr lang="en-US" sz="1400"/>
            <a:t>)</a:t>
          </a:r>
        </a:p>
        <a:p>
          <a:pPr>
            <a:lnSpc>
              <a:spcPct val="150000"/>
            </a:lnSpc>
          </a:pPr>
          <a:r>
            <a:rPr lang="en-US" sz="1400"/>
            <a:t>=</a:t>
          </a:r>
          <a:r>
            <a:rPr lang="en-US" sz="1400" b="1"/>
            <a:t>IF</a:t>
          </a:r>
          <a:r>
            <a:rPr lang="uk-UA" sz="1400"/>
            <a:t>(</a:t>
          </a:r>
          <a:r>
            <a:rPr lang="en-US" sz="1400"/>
            <a:t>SUM</a:t>
          </a:r>
          <a:r>
            <a:rPr lang="uk-UA" sz="1400"/>
            <a:t>(А1:С6)</a:t>
          </a:r>
          <a:r>
            <a:rPr lang="en-US" sz="1400"/>
            <a:t>&lt;&gt;400;  </a:t>
          </a:r>
          <a:r>
            <a:rPr lang="en-US" sz="1400">
              <a:solidFill>
                <a:srgbClr val="0000FF"/>
              </a:solidFill>
            </a:rPr>
            <a:t>C5*2+1</a:t>
          </a:r>
          <a:r>
            <a:rPr lang="uk-UA" sz="1400"/>
            <a:t>; </a:t>
          </a:r>
          <a:r>
            <a:rPr lang="en-US" sz="1400"/>
            <a:t> </a:t>
          </a:r>
          <a:r>
            <a:rPr lang="uk-UA" sz="1400">
              <a:solidFill>
                <a:srgbClr val="FF0000"/>
              </a:solidFill>
            </a:rPr>
            <a:t>“</a:t>
          </a:r>
          <a:r>
            <a:rPr lang="en-US" sz="1400">
              <a:solidFill>
                <a:srgbClr val="FF0000"/>
              </a:solidFill>
            </a:rPr>
            <a:t> </a:t>
          </a:r>
          <a:r>
            <a:rPr lang="uk-UA" sz="1400">
              <a:solidFill>
                <a:srgbClr val="FF0000"/>
              </a:solidFill>
            </a:rPr>
            <a:t>”</a:t>
          </a:r>
          <a:r>
            <a:rPr lang="uk-UA" sz="1400"/>
            <a:t>)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11</xdr:row>
      <xdr:rowOff>85725</xdr:rowOff>
    </xdr:from>
    <xdr:to>
      <xdr:col>5</xdr:col>
      <xdr:colOff>209550</xdr:colOff>
      <xdr:row>18</xdr:row>
      <xdr:rowOff>159533</xdr:rowOff>
    </xdr:to>
    <xdr:sp macro="" textlink="">
      <xdr:nvSpPr>
        <xdr:cNvPr id="4" name="TextBox 23"/>
        <xdr:cNvSpPr txBox="1">
          <a:spLocks noChangeArrowheads="1"/>
        </xdr:cNvSpPr>
      </xdr:nvSpPr>
      <xdr:spPr bwMode="auto">
        <a:xfrm>
          <a:off x="238125" y="2847975"/>
          <a:ext cx="3838575" cy="1407308"/>
        </a:xfrm>
        <a:prstGeom prst="rect">
          <a:avLst/>
        </a:prstGeom>
        <a:ln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wrap="square">
          <a:spAutoFit/>
        </a:bodyPr>
        <a:lstStyle>
          <a:defPPr>
            <a:defRPr lang="ru-RU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ct val="150000"/>
            </a:lnSpc>
          </a:pPr>
          <a:r>
            <a:rPr lang="uk-UA" sz="1400"/>
            <a:t>=</a:t>
          </a:r>
          <a:r>
            <a:rPr lang="en-US" sz="1400" b="1"/>
            <a:t>IF</a:t>
          </a:r>
          <a:r>
            <a:rPr lang="uk-UA" sz="1400"/>
            <a:t>(</a:t>
          </a:r>
          <a:r>
            <a:rPr lang="en-US" sz="1400"/>
            <a:t>F6&gt;0; </a:t>
          </a:r>
          <a:r>
            <a:rPr lang="uk-UA" sz="1400"/>
            <a:t> </a:t>
          </a:r>
          <a:r>
            <a:rPr lang="uk-UA" sz="1400">
              <a:solidFill>
                <a:srgbClr val="0000FF"/>
              </a:solidFill>
            </a:rPr>
            <a:t>“прибуток”</a:t>
          </a:r>
          <a:r>
            <a:rPr lang="uk-UA" sz="1400"/>
            <a:t>; </a:t>
          </a:r>
          <a:r>
            <a:rPr lang="en-US" sz="1400"/>
            <a:t> </a:t>
          </a:r>
          <a:r>
            <a:rPr lang="uk-UA" sz="1400">
              <a:solidFill>
                <a:srgbClr val="FF0000"/>
              </a:solidFill>
            </a:rPr>
            <a:t>“збиток”</a:t>
          </a:r>
          <a:r>
            <a:rPr lang="uk-UA" sz="1400"/>
            <a:t>)</a:t>
          </a:r>
          <a:endParaRPr lang="en-US" sz="1400"/>
        </a:p>
        <a:p>
          <a:pPr>
            <a:lnSpc>
              <a:spcPct val="150000"/>
            </a:lnSpc>
          </a:pPr>
          <a:r>
            <a:rPr lang="uk-UA" sz="1400"/>
            <a:t>=</a:t>
          </a:r>
          <a:r>
            <a:rPr lang="en-US" sz="1400" b="1"/>
            <a:t>IF</a:t>
          </a:r>
          <a:r>
            <a:rPr lang="uk-UA" sz="1400"/>
            <a:t>(</a:t>
          </a:r>
          <a:r>
            <a:rPr lang="en-US" sz="1400"/>
            <a:t>B2=“</a:t>
          </a:r>
          <a:r>
            <a:rPr lang="uk-UA" sz="1400"/>
            <a:t>Київ</a:t>
          </a:r>
          <a:r>
            <a:rPr lang="en-US" sz="1400"/>
            <a:t>”; </a:t>
          </a:r>
          <a:r>
            <a:rPr lang="uk-UA" sz="1400"/>
            <a:t> </a:t>
          </a:r>
          <a:r>
            <a:rPr lang="uk-UA" sz="1400">
              <a:solidFill>
                <a:srgbClr val="0000FF"/>
              </a:solidFill>
            </a:rPr>
            <a:t>“живе в Києві”</a:t>
          </a:r>
          <a:r>
            <a:rPr lang="uk-UA" sz="1400"/>
            <a:t>; </a:t>
          </a:r>
          <a:r>
            <a:rPr lang="en-US" sz="1400"/>
            <a:t> </a:t>
          </a:r>
          <a:r>
            <a:rPr lang="uk-UA" sz="1400">
              <a:solidFill>
                <a:srgbClr val="FF0000"/>
              </a:solidFill>
            </a:rPr>
            <a:t>“не місцевий!”</a:t>
          </a:r>
          <a:r>
            <a:rPr lang="uk-UA" sz="1400"/>
            <a:t>)</a:t>
          </a:r>
          <a:endParaRPr lang="en-US" sz="1400"/>
        </a:p>
        <a:p>
          <a:pPr>
            <a:lnSpc>
              <a:spcPct val="150000"/>
            </a:lnSpc>
          </a:pPr>
          <a:r>
            <a:rPr lang="uk-UA" sz="1400"/>
            <a:t>=</a:t>
          </a:r>
          <a:r>
            <a:rPr lang="en-US" sz="1400" b="1"/>
            <a:t>IF</a:t>
          </a:r>
          <a:r>
            <a:rPr lang="uk-UA" sz="1400"/>
            <a:t>(</a:t>
          </a:r>
          <a:r>
            <a:rPr lang="en-US" sz="1400"/>
            <a:t>B</a:t>
          </a:r>
          <a:r>
            <a:rPr lang="uk-UA" sz="1400"/>
            <a:t>5</a:t>
          </a:r>
          <a:r>
            <a:rPr lang="en-US" sz="1400"/>
            <a:t>^2&lt;=4*A5*C5;  </a:t>
          </a:r>
          <a:r>
            <a:rPr lang="en-US" sz="1400">
              <a:solidFill>
                <a:srgbClr val="0000FF"/>
              </a:solidFill>
            </a:rPr>
            <a:t>“</a:t>
          </a:r>
          <a:r>
            <a:rPr lang="uk-UA" sz="1400">
              <a:solidFill>
                <a:srgbClr val="0000FF"/>
              </a:solidFill>
            </a:rPr>
            <a:t>нема р-ів</a:t>
          </a:r>
          <a:r>
            <a:rPr lang="en-US" sz="1400">
              <a:solidFill>
                <a:srgbClr val="0000FF"/>
              </a:solidFill>
            </a:rPr>
            <a:t>”</a:t>
          </a:r>
          <a:r>
            <a:rPr lang="en-US" sz="1400"/>
            <a:t>;  </a:t>
          </a:r>
          <a:r>
            <a:rPr lang="uk-UA" sz="1400">
              <a:solidFill>
                <a:srgbClr val="FF0000"/>
              </a:solidFill>
            </a:rPr>
            <a:t>“є!!!”</a:t>
          </a:r>
          <a:r>
            <a:rPr lang="en-US" sz="1400"/>
            <a:t>)</a:t>
          </a:r>
        </a:p>
        <a:p>
          <a:pPr>
            <a:lnSpc>
              <a:spcPct val="150000"/>
            </a:lnSpc>
          </a:pPr>
          <a:r>
            <a:rPr lang="en-US" sz="1400"/>
            <a:t>=</a:t>
          </a:r>
          <a:r>
            <a:rPr lang="en-US" sz="1400" b="1"/>
            <a:t>IF</a:t>
          </a:r>
          <a:r>
            <a:rPr lang="uk-UA" sz="1400"/>
            <a:t>(</a:t>
          </a:r>
          <a:r>
            <a:rPr lang="en-US" sz="1400"/>
            <a:t>SUM</a:t>
          </a:r>
          <a:r>
            <a:rPr lang="uk-UA" sz="1400"/>
            <a:t>(А1:С6)</a:t>
          </a:r>
          <a:r>
            <a:rPr lang="en-US" sz="1400"/>
            <a:t>&lt;&gt;400;  </a:t>
          </a:r>
          <a:r>
            <a:rPr lang="en-US" sz="1400">
              <a:solidFill>
                <a:srgbClr val="0000FF"/>
              </a:solidFill>
            </a:rPr>
            <a:t>C5*2+1</a:t>
          </a:r>
          <a:r>
            <a:rPr lang="uk-UA" sz="1400"/>
            <a:t>; </a:t>
          </a:r>
          <a:r>
            <a:rPr lang="en-US" sz="1400"/>
            <a:t> </a:t>
          </a:r>
          <a:r>
            <a:rPr lang="uk-UA" sz="1400">
              <a:solidFill>
                <a:srgbClr val="FF0000"/>
              </a:solidFill>
            </a:rPr>
            <a:t>“</a:t>
          </a:r>
          <a:r>
            <a:rPr lang="en-US" sz="1400">
              <a:solidFill>
                <a:srgbClr val="FF0000"/>
              </a:solidFill>
            </a:rPr>
            <a:t> </a:t>
          </a:r>
          <a:r>
            <a:rPr lang="uk-UA" sz="1400">
              <a:solidFill>
                <a:srgbClr val="FF0000"/>
              </a:solidFill>
            </a:rPr>
            <a:t>”</a:t>
          </a:r>
          <a:r>
            <a:rPr lang="uk-UA" sz="1400"/>
            <a:t>)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8</xdr:row>
      <xdr:rowOff>0</xdr:rowOff>
    </xdr:from>
    <xdr:to>
      <xdr:col>3</xdr:col>
      <xdr:colOff>933450</xdr:colOff>
      <xdr:row>15</xdr:row>
      <xdr:rowOff>159533</xdr:rowOff>
    </xdr:to>
    <xdr:sp macro="" textlink="">
      <xdr:nvSpPr>
        <xdr:cNvPr id="2" name="TextBox 23"/>
        <xdr:cNvSpPr txBox="1">
          <a:spLocks noChangeArrowheads="1"/>
        </xdr:cNvSpPr>
      </xdr:nvSpPr>
      <xdr:spPr bwMode="auto">
        <a:xfrm>
          <a:off x="190500" y="2028825"/>
          <a:ext cx="3771900" cy="1407308"/>
        </a:xfrm>
        <a:prstGeom prst="rect">
          <a:avLst/>
        </a:prstGeom>
        <a:ln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wrap="square">
          <a:spAutoFit/>
        </a:bodyPr>
        <a:lstStyle>
          <a:defPPr>
            <a:defRPr lang="ru-RU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ct val="150000"/>
            </a:lnSpc>
          </a:pPr>
          <a:r>
            <a:rPr lang="uk-UA" sz="1400"/>
            <a:t>=</a:t>
          </a:r>
          <a:r>
            <a:rPr lang="en-US" sz="1400" b="1"/>
            <a:t>IF</a:t>
          </a:r>
          <a:r>
            <a:rPr lang="uk-UA" sz="1400"/>
            <a:t>(</a:t>
          </a:r>
          <a:r>
            <a:rPr lang="en-US" sz="1400"/>
            <a:t>F6&gt;0; </a:t>
          </a:r>
          <a:r>
            <a:rPr lang="uk-UA" sz="1400"/>
            <a:t> </a:t>
          </a:r>
          <a:r>
            <a:rPr lang="uk-UA" sz="1400">
              <a:solidFill>
                <a:srgbClr val="0000FF"/>
              </a:solidFill>
            </a:rPr>
            <a:t>“прибуток”</a:t>
          </a:r>
          <a:r>
            <a:rPr lang="uk-UA" sz="1400"/>
            <a:t>; </a:t>
          </a:r>
          <a:r>
            <a:rPr lang="en-US" sz="1400"/>
            <a:t> </a:t>
          </a:r>
          <a:r>
            <a:rPr lang="uk-UA" sz="1400">
              <a:solidFill>
                <a:srgbClr val="FF0000"/>
              </a:solidFill>
            </a:rPr>
            <a:t>“збиток”</a:t>
          </a:r>
          <a:r>
            <a:rPr lang="uk-UA" sz="1400"/>
            <a:t>)</a:t>
          </a:r>
          <a:endParaRPr lang="en-US" sz="1400"/>
        </a:p>
        <a:p>
          <a:pPr>
            <a:lnSpc>
              <a:spcPct val="150000"/>
            </a:lnSpc>
          </a:pPr>
          <a:r>
            <a:rPr lang="uk-UA" sz="1400"/>
            <a:t>=</a:t>
          </a:r>
          <a:r>
            <a:rPr lang="en-US" sz="1400" b="1"/>
            <a:t>IF</a:t>
          </a:r>
          <a:r>
            <a:rPr lang="uk-UA" sz="1400"/>
            <a:t>(</a:t>
          </a:r>
          <a:r>
            <a:rPr lang="en-US" sz="1400"/>
            <a:t>B2=“</a:t>
          </a:r>
          <a:r>
            <a:rPr lang="uk-UA" sz="1400"/>
            <a:t>Київ</a:t>
          </a:r>
          <a:r>
            <a:rPr lang="en-US" sz="1400"/>
            <a:t>”; </a:t>
          </a:r>
          <a:r>
            <a:rPr lang="uk-UA" sz="1400"/>
            <a:t> </a:t>
          </a:r>
          <a:r>
            <a:rPr lang="uk-UA" sz="1400">
              <a:solidFill>
                <a:srgbClr val="0000FF"/>
              </a:solidFill>
            </a:rPr>
            <a:t>“живе в Києві”</a:t>
          </a:r>
          <a:r>
            <a:rPr lang="uk-UA" sz="1400"/>
            <a:t>; </a:t>
          </a:r>
          <a:r>
            <a:rPr lang="en-US" sz="1400"/>
            <a:t> </a:t>
          </a:r>
          <a:r>
            <a:rPr lang="uk-UA" sz="1400">
              <a:solidFill>
                <a:srgbClr val="FF0000"/>
              </a:solidFill>
            </a:rPr>
            <a:t>“не місцевий!”</a:t>
          </a:r>
          <a:r>
            <a:rPr lang="uk-UA" sz="1400"/>
            <a:t>)</a:t>
          </a:r>
          <a:endParaRPr lang="en-US" sz="1400"/>
        </a:p>
        <a:p>
          <a:pPr>
            <a:lnSpc>
              <a:spcPct val="150000"/>
            </a:lnSpc>
          </a:pPr>
          <a:r>
            <a:rPr lang="uk-UA" sz="1400"/>
            <a:t>=</a:t>
          </a:r>
          <a:r>
            <a:rPr lang="en-US" sz="1400" b="1"/>
            <a:t>IF</a:t>
          </a:r>
          <a:r>
            <a:rPr lang="uk-UA" sz="1400"/>
            <a:t>(</a:t>
          </a:r>
          <a:r>
            <a:rPr lang="en-US" sz="1400"/>
            <a:t>B</a:t>
          </a:r>
          <a:r>
            <a:rPr lang="uk-UA" sz="1400"/>
            <a:t>5</a:t>
          </a:r>
          <a:r>
            <a:rPr lang="en-US" sz="1400"/>
            <a:t>^2&lt;=4*A5*C5;  </a:t>
          </a:r>
          <a:r>
            <a:rPr lang="en-US" sz="1400">
              <a:solidFill>
                <a:srgbClr val="0000FF"/>
              </a:solidFill>
            </a:rPr>
            <a:t>“</a:t>
          </a:r>
          <a:r>
            <a:rPr lang="uk-UA" sz="1400">
              <a:solidFill>
                <a:srgbClr val="0000FF"/>
              </a:solidFill>
            </a:rPr>
            <a:t>нема р-ів</a:t>
          </a:r>
          <a:r>
            <a:rPr lang="en-US" sz="1400">
              <a:solidFill>
                <a:srgbClr val="0000FF"/>
              </a:solidFill>
            </a:rPr>
            <a:t>”</a:t>
          </a:r>
          <a:r>
            <a:rPr lang="en-US" sz="1400"/>
            <a:t>;  </a:t>
          </a:r>
          <a:r>
            <a:rPr lang="uk-UA" sz="1400">
              <a:solidFill>
                <a:srgbClr val="FF0000"/>
              </a:solidFill>
            </a:rPr>
            <a:t>“є!!!”</a:t>
          </a:r>
          <a:r>
            <a:rPr lang="en-US" sz="1400"/>
            <a:t>)</a:t>
          </a:r>
        </a:p>
        <a:p>
          <a:pPr>
            <a:lnSpc>
              <a:spcPct val="150000"/>
            </a:lnSpc>
          </a:pPr>
          <a:r>
            <a:rPr lang="en-US" sz="1400"/>
            <a:t>=</a:t>
          </a:r>
          <a:r>
            <a:rPr lang="en-US" sz="1400" b="1"/>
            <a:t>IF</a:t>
          </a:r>
          <a:r>
            <a:rPr lang="uk-UA" sz="1400"/>
            <a:t>(</a:t>
          </a:r>
          <a:r>
            <a:rPr lang="en-US" sz="1400"/>
            <a:t>SUM</a:t>
          </a:r>
          <a:r>
            <a:rPr lang="uk-UA" sz="1400"/>
            <a:t>(А1:С6)</a:t>
          </a:r>
          <a:r>
            <a:rPr lang="en-US" sz="1400"/>
            <a:t>&lt;&gt;400;  </a:t>
          </a:r>
          <a:r>
            <a:rPr lang="en-US" sz="1400">
              <a:solidFill>
                <a:srgbClr val="0000FF"/>
              </a:solidFill>
            </a:rPr>
            <a:t>C5*2+1</a:t>
          </a:r>
          <a:r>
            <a:rPr lang="uk-UA" sz="1400"/>
            <a:t>; </a:t>
          </a:r>
          <a:r>
            <a:rPr lang="en-US" sz="1400"/>
            <a:t> </a:t>
          </a:r>
          <a:r>
            <a:rPr lang="uk-UA" sz="1400">
              <a:solidFill>
                <a:srgbClr val="FF0000"/>
              </a:solidFill>
            </a:rPr>
            <a:t>“</a:t>
          </a:r>
          <a:r>
            <a:rPr lang="en-US" sz="1400">
              <a:solidFill>
                <a:srgbClr val="FF0000"/>
              </a:solidFill>
            </a:rPr>
            <a:t> </a:t>
          </a:r>
          <a:r>
            <a:rPr lang="uk-UA" sz="1400">
              <a:solidFill>
                <a:srgbClr val="FF0000"/>
              </a:solidFill>
            </a:rPr>
            <a:t>”</a:t>
          </a:r>
          <a:r>
            <a:rPr lang="uk-UA" sz="1400"/>
            <a:t>)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561975</xdr:colOff>
      <xdr:row>3</xdr:row>
      <xdr:rowOff>133351</xdr:rowOff>
    </xdr:from>
    <xdr:to>
      <xdr:col>7</xdr:col>
      <xdr:colOff>9525</xdr:colOff>
      <xdr:row>4</xdr:row>
      <xdr:rowOff>85726</xdr:rowOff>
    </xdr:to>
    <xdr:cxnSp macro="">
      <xdr:nvCxnSpPr>
        <xdr:cNvPr id="3" name="Пряма зі стрілкою 2"/>
        <xdr:cNvCxnSpPr/>
      </xdr:nvCxnSpPr>
      <xdr:spPr>
        <a:xfrm rot="10800000">
          <a:off x="4057650" y="1066801"/>
          <a:ext cx="666750" cy="14287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571501</xdr:colOff>
      <xdr:row>4</xdr:row>
      <xdr:rowOff>142876</xdr:rowOff>
    </xdr:from>
    <xdr:to>
      <xdr:col>8</xdr:col>
      <xdr:colOff>219076</xdr:colOff>
      <xdr:row>5</xdr:row>
      <xdr:rowOff>1</xdr:rowOff>
    </xdr:to>
    <xdr:cxnSp macro="">
      <xdr:nvCxnSpPr>
        <xdr:cNvPr id="5" name="Пряма зі стрілкою 4"/>
        <xdr:cNvCxnSpPr/>
      </xdr:nvCxnSpPr>
      <xdr:spPr>
        <a:xfrm rot="10800000">
          <a:off x="4067176" y="1266826"/>
          <a:ext cx="1476375" cy="47625"/>
        </a:xfrm>
        <a:prstGeom prst="straightConnector1">
          <a:avLst/>
        </a:prstGeom>
        <a:ln>
          <a:solidFill>
            <a:srgbClr val="00B050"/>
          </a:solidFill>
          <a:tailEnd type="arrow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476250</xdr:colOff>
      <xdr:row>0</xdr:row>
      <xdr:rowOff>104775</xdr:rowOff>
    </xdr:from>
    <xdr:to>
      <xdr:col>16</xdr:col>
      <xdr:colOff>590550</xdr:colOff>
      <xdr:row>6</xdr:row>
      <xdr:rowOff>7133</xdr:rowOff>
    </xdr:to>
    <xdr:sp macro="" textlink="">
      <xdr:nvSpPr>
        <xdr:cNvPr id="4" name="TextBox 23"/>
        <xdr:cNvSpPr txBox="1">
          <a:spLocks noChangeArrowheads="1"/>
        </xdr:cNvSpPr>
      </xdr:nvSpPr>
      <xdr:spPr bwMode="auto">
        <a:xfrm>
          <a:off x="6257925" y="104775"/>
          <a:ext cx="3771900" cy="1407308"/>
        </a:xfrm>
        <a:prstGeom prst="rect">
          <a:avLst/>
        </a:prstGeom>
        <a:ln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wrap="square">
          <a:spAutoFit/>
        </a:bodyPr>
        <a:lstStyle>
          <a:defPPr>
            <a:defRPr lang="ru-RU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ct val="150000"/>
            </a:lnSpc>
          </a:pPr>
          <a:r>
            <a:rPr lang="uk-UA" sz="1400"/>
            <a:t>=</a:t>
          </a:r>
          <a:r>
            <a:rPr lang="en-US" sz="1400" b="1"/>
            <a:t>IF</a:t>
          </a:r>
          <a:r>
            <a:rPr lang="uk-UA" sz="1400"/>
            <a:t>(</a:t>
          </a:r>
          <a:r>
            <a:rPr lang="en-US" sz="1400"/>
            <a:t>F6&gt;0; </a:t>
          </a:r>
          <a:r>
            <a:rPr lang="uk-UA" sz="1400"/>
            <a:t> </a:t>
          </a:r>
          <a:r>
            <a:rPr lang="uk-UA" sz="1400">
              <a:solidFill>
                <a:srgbClr val="0000FF"/>
              </a:solidFill>
            </a:rPr>
            <a:t>“прибуток”</a:t>
          </a:r>
          <a:r>
            <a:rPr lang="uk-UA" sz="1400"/>
            <a:t>; </a:t>
          </a:r>
          <a:r>
            <a:rPr lang="en-US" sz="1400"/>
            <a:t> </a:t>
          </a:r>
          <a:r>
            <a:rPr lang="uk-UA" sz="1400">
              <a:solidFill>
                <a:srgbClr val="FF0000"/>
              </a:solidFill>
            </a:rPr>
            <a:t>“збиток”</a:t>
          </a:r>
          <a:r>
            <a:rPr lang="uk-UA" sz="1400"/>
            <a:t>)</a:t>
          </a:r>
          <a:endParaRPr lang="en-US" sz="1400"/>
        </a:p>
        <a:p>
          <a:pPr>
            <a:lnSpc>
              <a:spcPct val="150000"/>
            </a:lnSpc>
          </a:pPr>
          <a:r>
            <a:rPr lang="uk-UA" sz="1400"/>
            <a:t>=</a:t>
          </a:r>
          <a:r>
            <a:rPr lang="en-US" sz="1400" b="1"/>
            <a:t>IF</a:t>
          </a:r>
          <a:r>
            <a:rPr lang="uk-UA" sz="1400"/>
            <a:t>(</a:t>
          </a:r>
          <a:r>
            <a:rPr lang="en-US" sz="1400"/>
            <a:t>B2=“</a:t>
          </a:r>
          <a:r>
            <a:rPr lang="uk-UA" sz="1400"/>
            <a:t>Київ</a:t>
          </a:r>
          <a:r>
            <a:rPr lang="en-US" sz="1400"/>
            <a:t>”; </a:t>
          </a:r>
          <a:r>
            <a:rPr lang="uk-UA" sz="1400"/>
            <a:t> </a:t>
          </a:r>
          <a:r>
            <a:rPr lang="uk-UA" sz="1400">
              <a:solidFill>
                <a:srgbClr val="0000FF"/>
              </a:solidFill>
            </a:rPr>
            <a:t>“живе в Києві”</a:t>
          </a:r>
          <a:r>
            <a:rPr lang="uk-UA" sz="1400"/>
            <a:t>; </a:t>
          </a:r>
          <a:r>
            <a:rPr lang="en-US" sz="1400"/>
            <a:t> </a:t>
          </a:r>
          <a:r>
            <a:rPr lang="uk-UA" sz="1400">
              <a:solidFill>
                <a:srgbClr val="FF0000"/>
              </a:solidFill>
            </a:rPr>
            <a:t>“не місцевий!”</a:t>
          </a:r>
          <a:r>
            <a:rPr lang="uk-UA" sz="1400"/>
            <a:t>)</a:t>
          </a:r>
          <a:endParaRPr lang="en-US" sz="1400"/>
        </a:p>
        <a:p>
          <a:pPr>
            <a:lnSpc>
              <a:spcPct val="150000"/>
            </a:lnSpc>
          </a:pPr>
          <a:r>
            <a:rPr lang="uk-UA" sz="1400"/>
            <a:t>=</a:t>
          </a:r>
          <a:r>
            <a:rPr lang="en-US" sz="1400" b="1"/>
            <a:t>IF</a:t>
          </a:r>
          <a:r>
            <a:rPr lang="uk-UA" sz="1400"/>
            <a:t>(</a:t>
          </a:r>
          <a:r>
            <a:rPr lang="en-US" sz="1400"/>
            <a:t>B</a:t>
          </a:r>
          <a:r>
            <a:rPr lang="uk-UA" sz="1400"/>
            <a:t>5</a:t>
          </a:r>
          <a:r>
            <a:rPr lang="en-US" sz="1400"/>
            <a:t>^2&lt;=4*A5*C5;  </a:t>
          </a:r>
          <a:r>
            <a:rPr lang="en-US" sz="1400">
              <a:solidFill>
                <a:srgbClr val="0000FF"/>
              </a:solidFill>
            </a:rPr>
            <a:t>“</a:t>
          </a:r>
          <a:r>
            <a:rPr lang="uk-UA" sz="1400">
              <a:solidFill>
                <a:srgbClr val="0000FF"/>
              </a:solidFill>
            </a:rPr>
            <a:t>нема р-ів</a:t>
          </a:r>
          <a:r>
            <a:rPr lang="en-US" sz="1400">
              <a:solidFill>
                <a:srgbClr val="0000FF"/>
              </a:solidFill>
            </a:rPr>
            <a:t>”</a:t>
          </a:r>
          <a:r>
            <a:rPr lang="en-US" sz="1400"/>
            <a:t>;  </a:t>
          </a:r>
          <a:r>
            <a:rPr lang="uk-UA" sz="1400">
              <a:solidFill>
                <a:srgbClr val="FF0000"/>
              </a:solidFill>
            </a:rPr>
            <a:t>“є!!!”</a:t>
          </a:r>
          <a:r>
            <a:rPr lang="en-US" sz="1400"/>
            <a:t>)</a:t>
          </a:r>
        </a:p>
        <a:p>
          <a:pPr>
            <a:lnSpc>
              <a:spcPct val="150000"/>
            </a:lnSpc>
          </a:pPr>
          <a:r>
            <a:rPr lang="en-US" sz="1400"/>
            <a:t>=</a:t>
          </a:r>
          <a:r>
            <a:rPr lang="en-US" sz="1400" b="1"/>
            <a:t>IF</a:t>
          </a:r>
          <a:r>
            <a:rPr lang="uk-UA" sz="1400"/>
            <a:t>(</a:t>
          </a:r>
          <a:r>
            <a:rPr lang="en-US" sz="1400"/>
            <a:t>SUM</a:t>
          </a:r>
          <a:r>
            <a:rPr lang="uk-UA" sz="1400"/>
            <a:t>(А1:С6)</a:t>
          </a:r>
          <a:r>
            <a:rPr lang="en-US" sz="1400"/>
            <a:t>&lt;&gt;400;  </a:t>
          </a:r>
          <a:r>
            <a:rPr lang="en-US" sz="1400">
              <a:solidFill>
                <a:srgbClr val="0000FF"/>
              </a:solidFill>
            </a:rPr>
            <a:t>C5*2+1</a:t>
          </a:r>
          <a:r>
            <a:rPr lang="uk-UA" sz="1400"/>
            <a:t>; </a:t>
          </a:r>
          <a:r>
            <a:rPr lang="en-US" sz="1400"/>
            <a:t> </a:t>
          </a:r>
          <a:r>
            <a:rPr lang="uk-UA" sz="1400">
              <a:solidFill>
                <a:srgbClr val="FF0000"/>
              </a:solidFill>
            </a:rPr>
            <a:t>“</a:t>
          </a:r>
          <a:r>
            <a:rPr lang="en-US" sz="1400">
              <a:solidFill>
                <a:srgbClr val="FF0000"/>
              </a:solidFill>
            </a:rPr>
            <a:t> </a:t>
          </a:r>
          <a:r>
            <a:rPr lang="uk-UA" sz="1400">
              <a:solidFill>
                <a:srgbClr val="FF0000"/>
              </a:solidFill>
            </a:rPr>
            <a:t>”</a:t>
          </a:r>
          <a:r>
            <a:rPr lang="uk-UA" sz="1400"/>
            <a:t>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0"/>
  <sheetViews>
    <sheetView tabSelected="1" workbookViewId="0">
      <selection activeCell="K9" sqref="K9"/>
    </sheetView>
  </sheetViews>
  <sheetFormatPr defaultRowHeight="15"/>
  <cols>
    <col min="1" max="1" width="15.42578125" style="46" bestFit="1" customWidth="1"/>
    <col min="2" max="2" width="12" style="46" customWidth="1"/>
    <col min="3" max="3" width="3.7109375" style="47" bestFit="1" customWidth="1"/>
    <col min="4" max="4" width="5.42578125" style="47" bestFit="1" customWidth="1"/>
    <col min="5" max="5" width="9.28515625" style="46" bestFit="1" customWidth="1"/>
    <col min="6" max="6" width="11" style="46" bestFit="1" customWidth="1"/>
    <col min="7" max="7" width="11.85546875" style="46" bestFit="1" customWidth="1"/>
    <col min="8" max="8" width="4.7109375" customWidth="1"/>
    <col min="9" max="9" width="19" style="46" bestFit="1" customWidth="1"/>
    <col min="10" max="10" width="16.42578125" style="47" bestFit="1" customWidth="1"/>
    <col min="11" max="11" width="16.42578125" style="46" customWidth="1"/>
    <col min="12" max="16384" width="9.140625" style="46"/>
  </cols>
  <sheetData>
    <row r="1" spans="1:10" ht="18.75">
      <c r="A1" s="113"/>
      <c r="B1" s="114" t="s">
        <v>483</v>
      </c>
      <c r="C1" s="114"/>
      <c r="D1" s="114"/>
      <c r="E1" s="114"/>
      <c r="F1" s="114"/>
      <c r="G1" s="114"/>
    </row>
    <row r="2" spans="1:10" s="49" customFormat="1" ht="45.75" customHeight="1">
      <c r="A2" s="115" t="s">
        <v>395</v>
      </c>
      <c r="B2" s="116" t="s">
        <v>394</v>
      </c>
      <c r="C2" s="116" t="s">
        <v>393</v>
      </c>
      <c r="D2" s="116" t="s">
        <v>392</v>
      </c>
      <c r="E2" s="116" t="s">
        <v>391</v>
      </c>
      <c r="F2" s="116" t="s">
        <v>484</v>
      </c>
      <c r="G2" s="117" t="s">
        <v>390</v>
      </c>
      <c r="H2"/>
      <c r="I2" s="50" t="s">
        <v>479</v>
      </c>
      <c r="J2" s="50" t="s">
        <v>389</v>
      </c>
    </row>
    <row r="3" spans="1:10" ht="15.75" thickBot="1">
      <c r="A3" s="118" t="s">
        <v>388</v>
      </c>
      <c r="B3" s="119" t="s">
        <v>254</v>
      </c>
      <c r="C3" s="120">
        <v>11</v>
      </c>
      <c r="D3" s="121">
        <v>143</v>
      </c>
      <c r="E3" s="122" t="s">
        <v>457</v>
      </c>
      <c r="F3" s="119" t="s">
        <v>485</v>
      </c>
      <c r="G3" s="122" t="s">
        <v>260</v>
      </c>
      <c r="I3" s="48" t="s">
        <v>0</v>
      </c>
      <c r="J3" s="48" t="s">
        <v>0</v>
      </c>
    </row>
    <row r="4" spans="1:10" ht="15.75" thickBot="1">
      <c r="A4" s="123" t="s">
        <v>387</v>
      </c>
      <c r="B4" s="124" t="s">
        <v>296</v>
      </c>
      <c r="C4" s="125">
        <v>13</v>
      </c>
      <c r="D4" s="126">
        <v>138</v>
      </c>
      <c r="E4" s="127" t="s">
        <v>457</v>
      </c>
      <c r="F4" s="124" t="s">
        <v>486</v>
      </c>
      <c r="G4" s="127" t="s">
        <v>280</v>
      </c>
      <c r="I4" s="48" t="s">
        <v>0</v>
      </c>
      <c r="J4" s="48" t="s">
        <v>0</v>
      </c>
    </row>
    <row r="5" spans="1:10" ht="15.75" thickBot="1">
      <c r="A5" s="123" t="s">
        <v>386</v>
      </c>
      <c r="B5" s="124" t="s">
        <v>265</v>
      </c>
      <c r="C5" s="125">
        <v>15</v>
      </c>
      <c r="D5" s="126">
        <v>124</v>
      </c>
      <c r="E5" s="127" t="s">
        <v>457</v>
      </c>
      <c r="F5" s="124" t="s">
        <v>485</v>
      </c>
      <c r="G5" s="127" t="s">
        <v>373</v>
      </c>
      <c r="I5" s="48" t="s">
        <v>0</v>
      </c>
      <c r="J5" s="48" t="s">
        <v>0</v>
      </c>
    </row>
    <row r="6" spans="1:10" ht="15.75" thickBot="1">
      <c r="A6" s="123" t="s">
        <v>385</v>
      </c>
      <c r="B6" s="124" t="s">
        <v>342</v>
      </c>
      <c r="C6" s="125">
        <v>14</v>
      </c>
      <c r="D6" s="126">
        <v>122</v>
      </c>
      <c r="E6" s="127" t="s">
        <v>457</v>
      </c>
      <c r="F6" s="124" t="s">
        <v>486</v>
      </c>
      <c r="G6" s="127" t="s">
        <v>280</v>
      </c>
      <c r="I6" s="48" t="s">
        <v>455</v>
      </c>
      <c r="J6" s="48" t="s">
        <v>0</v>
      </c>
    </row>
    <row r="7" spans="1:10" ht="15.75" thickBot="1">
      <c r="A7" s="123" t="s">
        <v>384</v>
      </c>
      <c r="B7" s="124" t="s">
        <v>383</v>
      </c>
      <c r="C7" s="125">
        <v>13</v>
      </c>
      <c r="D7" s="126">
        <v>123</v>
      </c>
      <c r="E7" s="127" t="s">
        <v>457</v>
      </c>
      <c r="F7" s="124" t="s">
        <v>487</v>
      </c>
      <c r="G7" s="127" t="s">
        <v>280</v>
      </c>
      <c r="I7" s="48" t="s">
        <v>0</v>
      </c>
      <c r="J7" s="48" t="s">
        <v>0</v>
      </c>
    </row>
    <row r="8" spans="1:10" ht="15.75" thickBot="1">
      <c r="A8" s="123" t="s">
        <v>488</v>
      </c>
      <c r="B8" s="124" t="s">
        <v>382</v>
      </c>
      <c r="C8" s="125">
        <v>14</v>
      </c>
      <c r="D8" s="126">
        <v>143</v>
      </c>
      <c r="E8" s="127" t="s">
        <v>458</v>
      </c>
      <c r="F8" s="124" t="s">
        <v>486</v>
      </c>
      <c r="G8" s="127" t="s">
        <v>260</v>
      </c>
      <c r="I8" s="48" t="s">
        <v>0</v>
      </c>
      <c r="J8" s="48" t="s">
        <v>0</v>
      </c>
    </row>
    <row r="9" spans="1:10" ht="15.75" thickBot="1">
      <c r="A9" s="123" t="s">
        <v>381</v>
      </c>
      <c r="B9" s="124" t="s">
        <v>380</v>
      </c>
      <c r="C9" s="125">
        <v>14</v>
      </c>
      <c r="D9" s="126">
        <v>147</v>
      </c>
      <c r="E9" s="127" t="s">
        <v>458</v>
      </c>
      <c r="F9" s="124" t="s">
        <v>486</v>
      </c>
      <c r="G9" s="127" t="s">
        <v>264</v>
      </c>
      <c r="I9" s="48" t="s">
        <v>0</v>
      </c>
      <c r="J9" s="48" t="s">
        <v>450</v>
      </c>
    </row>
    <row r="10" spans="1:10" ht="15.75" thickBot="1">
      <c r="A10" s="123" t="s">
        <v>379</v>
      </c>
      <c r="B10" s="124" t="s">
        <v>287</v>
      </c>
      <c r="C10" s="125">
        <v>11</v>
      </c>
      <c r="D10" s="126">
        <v>137</v>
      </c>
      <c r="E10" s="127" t="s">
        <v>458</v>
      </c>
      <c r="F10" s="124" t="s">
        <v>489</v>
      </c>
      <c r="G10" s="127" t="s">
        <v>280</v>
      </c>
      <c r="I10" s="48" t="s">
        <v>456</v>
      </c>
      <c r="J10" s="48" t="s">
        <v>408</v>
      </c>
    </row>
    <row r="11" spans="1:10" ht="15.75" thickBot="1">
      <c r="A11" s="123" t="s">
        <v>378</v>
      </c>
      <c r="B11" s="124" t="s">
        <v>283</v>
      </c>
      <c r="C11" s="125">
        <v>12</v>
      </c>
      <c r="D11" s="126">
        <v>142</v>
      </c>
      <c r="E11" s="127" t="s">
        <v>457</v>
      </c>
      <c r="F11" s="124" t="s">
        <v>486</v>
      </c>
      <c r="G11" s="127" t="s">
        <v>260</v>
      </c>
      <c r="I11" s="48" t="s">
        <v>0</v>
      </c>
      <c r="J11" s="48" t="s">
        <v>0</v>
      </c>
    </row>
    <row r="12" spans="1:10" ht="15.75" thickBot="1">
      <c r="A12" s="123" t="s">
        <v>377</v>
      </c>
      <c r="B12" s="124" t="s">
        <v>376</v>
      </c>
      <c r="C12" s="125">
        <v>15</v>
      </c>
      <c r="D12" s="126">
        <v>123</v>
      </c>
      <c r="E12" s="127" t="s">
        <v>457</v>
      </c>
      <c r="F12" s="124" t="s">
        <v>485</v>
      </c>
      <c r="G12" s="127" t="s">
        <v>373</v>
      </c>
      <c r="I12" s="48" t="s">
        <v>0</v>
      </c>
      <c r="J12" s="48" t="s">
        <v>0</v>
      </c>
    </row>
    <row r="13" spans="1:10" ht="15.75" thickBot="1">
      <c r="A13" s="123" t="s">
        <v>375</v>
      </c>
      <c r="B13" s="124" t="s">
        <v>275</v>
      </c>
      <c r="C13" s="125">
        <v>14</v>
      </c>
      <c r="D13" s="126">
        <v>150</v>
      </c>
      <c r="E13" s="127" t="s">
        <v>457</v>
      </c>
      <c r="F13" s="124" t="s">
        <v>489</v>
      </c>
      <c r="G13" s="127" t="s">
        <v>250</v>
      </c>
      <c r="I13" s="48" t="s">
        <v>0</v>
      </c>
      <c r="J13" s="48" t="s">
        <v>0</v>
      </c>
    </row>
    <row r="14" spans="1:10" ht="15.75" thickBot="1">
      <c r="A14" s="123" t="s">
        <v>374</v>
      </c>
      <c r="B14" s="124" t="s">
        <v>254</v>
      </c>
      <c r="C14" s="125">
        <v>13</v>
      </c>
      <c r="D14" s="126">
        <v>145</v>
      </c>
      <c r="E14" s="127" t="s">
        <v>457</v>
      </c>
      <c r="F14" s="124" t="s">
        <v>487</v>
      </c>
      <c r="G14" s="127" t="s">
        <v>373</v>
      </c>
      <c r="I14" s="48" t="s">
        <v>0</v>
      </c>
      <c r="J14" s="48" t="s">
        <v>0</v>
      </c>
    </row>
    <row r="15" spans="1:10" ht="15.75" thickBot="1">
      <c r="A15" s="123" t="s">
        <v>490</v>
      </c>
      <c r="B15" s="124" t="s">
        <v>294</v>
      </c>
      <c r="C15" s="125">
        <v>12</v>
      </c>
      <c r="D15" s="126">
        <v>136</v>
      </c>
      <c r="E15" s="127" t="s">
        <v>458</v>
      </c>
      <c r="F15" s="124" t="s">
        <v>489</v>
      </c>
      <c r="G15" s="127" t="s">
        <v>250</v>
      </c>
      <c r="I15" s="48" t="s">
        <v>0</v>
      </c>
      <c r="J15" s="48" t="s">
        <v>0</v>
      </c>
    </row>
    <row r="16" spans="1:10" ht="15.75" thickBot="1">
      <c r="A16" s="123" t="s">
        <v>372</v>
      </c>
      <c r="B16" s="124" t="s">
        <v>491</v>
      </c>
      <c r="C16" s="125">
        <v>13</v>
      </c>
      <c r="D16" s="126">
        <v>145</v>
      </c>
      <c r="E16" s="127" t="s">
        <v>458</v>
      </c>
      <c r="F16" s="124" t="s">
        <v>489</v>
      </c>
      <c r="G16" s="127" t="s">
        <v>280</v>
      </c>
      <c r="I16" s="48" t="s">
        <v>0</v>
      </c>
      <c r="J16" s="48" t="s">
        <v>0</v>
      </c>
    </row>
    <row r="17" spans="1:10" ht="15.75" thickBot="1">
      <c r="A17" s="123" t="s">
        <v>371</v>
      </c>
      <c r="B17" s="124" t="s">
        <v>252</v>
      </c>
      <c r="C17" s="125">
        <v>13</v>
      </c>
      <c r="D17" s="126">
        <v>146</v>
      </c>
      <c r="E17" s="127" t="s">
        <v>457</v>
      </c>
      <c r="F17" s="124" t="s">
        <v>487</v>
      </c>
      <c r="G17" s="127" t="s">
        <v>264</v>
      </c>
      <c r="I17" s="48" t="s">
        <v>0</v>
      </c>
      <c r="J17" s="48" t="s">
        <v>0</v>
      </c>
    </row>
    <row r="18" spans="1:10" ht="15.75" thickBot="1">
      <c r="A18" s="123" t="s">
        <v>370</v>
      </c>
      <c r="B18" s="124" t="s">
        <v>369</v>
      </c>
      <c r="C18" s="125">
        <v>12</v>
      </c>
      <c r="D18" s="126">
        <v>124</v>
      </c>
      <c r="E18" s="127" t="s">
        <v>457</v>
      </c>
      <c r="F18" s="124" t="s">
        <v>489</v>
      </c>
      <c r="G18" s="127" t="s">
        <v>256</v>
      </c>
      <c r="I18" s="48" t="s">
        <v>0</v>
      </c>
      <c r="J18" s="48" t="s">
        <v>0</v>
      </c>
    </row>
    <row r="19" spans="1:10" ht="15.75" thickBot="1">
      <c r="A19" s="123" t="s">
        <v>368</v>
      </c>
      <c r="B19" s="124" t="s">
        <v>357</v>
      </c>
      <c r="C19" s="125">
        <v>13</v>
      </c>
      <c r="D19" s="126">
        <v>124</v>
      </c>
      <c r="E19" s="127" t="s">
        <v>457</v>
      </c>
      <c r="F19" s="124" t="s">
        <v>487</v>
      </c>
      <c r="G19" s="127" t="s">
        <v>280</v>
      </c>
      <c r="I19" s="48" t="s">
        <v>0</v>
      </c>
      <c r="J19" s="48" t="s">
        <v>0</v>
      </c>
    </row>
    <row r="20" spans="1:10" ht="15.75" thickBot="1">
      <c r="A20" s="123" t="s">
        <v>367</v>
      </c>
      <c r="B20" s="124" t="s">
        <v>254</v>
      </c>
      <c r="C20" s="125">
        <v>15</v>
      </c>
      <c r="D20" s="126">
        <v>137</v>
      </c>
      <c r="E20" s="127" t="s">
        <v>457</v>
      </c>
      <c r="F20" s="124" t="s">
        <v>485</v>
      </c>
      <c r="G20" s="127" t="s">
        <v>264</v>
      </c>
      <c r="I20" s="48" t="s">
        <v>0</v>
      </c>
      <c r="J20" s="48" t="s">
        <v>0</v>
      </c>
    </row>
    <row r="21" spans="1:10" ht="15.75" thickBot="1">
      <c r="A21" s="123" t="s">
        <v>366</v>
      </c>
      <c r="B21" s="124" t="s">
        <v>259</v>
      </c>
      <c r="C21" s="125">
        <v>14</v>
      </c>
      <c r="D21" s="126">
        <v>148</v>
      </c>
      <c r="E21" s="127" t="s">
        <v>458</v>
      </c>
      <c r="F21" s="124" t="s">
        <v>485</v>
      </c>
      <c r="G21" s="127" t="s">
        <v>264</v>
      </c>
      <c r="I21" s="48" t="s">
        <v>0</v>
      </c>
      <c r="J21" s="48" t="s">
        <v>0</v>
      </c>
    </row>
    <row r="22" spans="1:10" ht="15.75" thickBot="1">
      <c r="A22" s="123" t="s">
        <v>365</v>
      </c>
      <c r="B22" s="124" t="s">
        <v>313</v>
      </c>
      <c r="C22" s="125">
        <v>14</v>
      </c>
      <c r="D22" s="126">
        <v>144</v>
      </c>
      <c r="E22" s="127" t="s">
        <v>457</v>
      </c>
      <c r="F22" s="124" t="s">
        <v>485</v>
      </c>
      <c r="G22" s="127" t="s">
        <v>250</v>
      </c>
      <c r="I22" s="48" t="s">
        <v>0</v>
      </c>
      <c r="J22" s="48" t="s">
        <v>0</v>
      </c>
    </row>
    <row r="23" spans="1:10" ht="15.75" thickBot="1">
      <c r="A23" s="123" t="s">
        <v>365</v>
      </c>
      <c r="B23" s="124" t="s">
        <v>257</v>
      </c>
      <c r="C23" s="125">
        <v>12</v>
      </c>
      <c r="D23" s="126">
        <v>143</v>
      </c>
      <c r="E23" s="127" t="s">
        <v>458</v>
      </c>
      <c r="F23" s="124" t="s">
        <v>487</v>
      </c>
      <c r="G23" s="127" t="s">
        <v>256</v>
      </c>
      <c r="I23" s="48" t="s">
        <v>0</v>
      </c>
      <c r="J23" s="48" t="s">
        <v>0</v>
      </c>
    </row>
    <row r="24" spans="1:10" ht="15.75" thickBot="1">
      <c r="A24" s="123" t="s">
        <v>365</v>
      </c>
      <c r="B24" s="124" t="s">
        <v>306</v>
      </c>
      <c r="C24" s="125">
        <v>13</v>
      </c>
      <c r="D24" s="126">
        <v>145</v>
      </c>
      <c r="E24" s="127" t="s">
        <v>457</v>
      </c>
      <c r="F24" s="124" t="s">
        <v>487</v>
      </c>
      <c r="G24" s="127" t="s">
        <v>264</v>
      </c>
      <c r="I24" s="48" t="s">
        <v>0</v>
      </c>
      <c r="J24" s="48" t="s">
        <v>0</v>
      </c>
    </row>
    <row r="25" spans="1:10" ht="15.75" thickBot="1">
      <c r="A25" s="123" t="s">
        <v>364</v>
      </c>
      <c r="B25" s="124" t="s">
        <v>285</v>
      </c>
      <c r="C25" s="125">
        <v>12</v>
      </c>
      <c r="D25" s="126">
        <v>124</v>
      </c>
      <c r="E25" s="127" t="s">
        <v>458</v>
      </c>
      <c r="F25" s="124" t="s">
        <v>489</v>
      </c>
      <c r="G25" s="127" t="s">
        <v>260</v>
      </c>
      <c r="I25" s="48" t="s">
        <v>0</v>
      </c>
      <c r="J25" s="48" t="s">
        <v>0</v>
      </c>
    </row>
    <row r="26" spans="1:10" ht="15.75" thickBot="1">
      <c r="A26" s="123" t="s">
        <v>363</v>
      </c>
      <c r="B26" s="124" t="s">
        <v>283</v>
      </c>
      <c r="C26" s="125">
        <v>10</v>
      </c>
      <c r="D26" s="126">
        <v>145</v>
      </c>
      <c r="E26" s="127" t="s">
        <v>457</v>
      </c>
      <c r="F26" s="124" t="s">
        <v>485</v>
      </c>
      <c r="G26" s="127" t="s">
        <v>280</v>
      </c>
      <c r="I26" s="48" t="s">
        <v>0</v>
      </c>
      <c r="J26" s="48" t="s">
        <v>0</v>
      </c>
    </row>
    <row r="27" spans="1:10" ht="15.75" thickBot="1">
      <c r="A27" s="123" t="s">
        <v>362</v>
      </c>
      <c r="B27" s="124" t="s">
        <v>361</v>
      </c>
      <c r="C27" s="125">
        <v>10</v>
      </c>
      <c r="D27" s="126">
        <v>144</v>
      </c>
      <c r="E27" s="127" t="s">
        <v>457</v>
      </c>
      <c r="F27" s="124" t="s">
        <v>485</v>
      </c>
      <c r="G27" s="127" t="s">
        <v>250</v>
      </c>
      <c r="I27" s="48" t="s">
        <v>0</v>
      </c>
      <c r="J27" s="48" t="s">
        <v>0</v>
      </c>
    </row>
    <row r="28" spans="1:10" ht="15.75" thickBot="1">
      <c r="A28" s="123" t="s">
        <v>360</v>
      </c>
      <c r="B28" s="124" t="s">
        <v>302</v>
      </c>
      <c r="C28" s="125">
        <v>13</v>
      </c>
      <c r="D28" s="126">
        <v>125</v>
      </c>
      <c r="E28" s="127" t="s">
        <v>457</v>
      </c>
      <c r="F28" s="124" t="s">
        <v>487</v>
      </c>
      <c r="G28" s="127" t="s">
        <v>280</v>
      </c>
      <c r="I28" s="48" t="s">
        <v>0</v>
      </c>
      <c r="J28" s="48" t="s">
        <v>0</v>
      </c>
    </row>
    <row r="29" spans="1:10" ht="15.75" thickBot="1">
      <c r="A29" s="123" t="s">
        <v>359</v>
      </c>
      <c r="B29" s="124" t="s">
        <v>292</v>
      </c>
      <c r="C29" s="125">
        <v>11</v>
      </c>
      <c r="D29" s="126">
        <v>146</v>
      </c>
      <c r="E29" s="127" t="s">
        <v>457</v>
      </c>
      <c r="F29" s="124" t="s">
        <v>485</v>
      </c>
      <c r="G29" s="127" t="s">
        <v>250</v>
      </c>
      <c r="I29" s="48" t="s">
        <v>0</v>
      </c>
      <c r="J29" s="48" t="s">
        <v>0</v>
      </c>
    </row>
    <row r="30" spans="1:10" ht="15.75" thickBot="1">
      <c r="A30" s="123" t="s">
        <v>358</v>
      </c>
      <c r="B30" s="124" t="s">
        <v>357</v>
      </c>
      <c r="C30" s="125">
        <v>15</v>
      </c>
      <c r="D30" s="126">
        <v>129</v>
      </c>
      <c r="E30" s="127" t="s">
        <v>457</v>
      </c>
      <c r="F30" s="124" t="s">
        <v>487</v>
      </c>
      <c r="G30" s="127" t="s">
        <v>260</v>
      </c>
      <c r="I30" s="48" t="s">
        <v>0</v>
      </c>
      <c r="J30" s="48" t="s">
        <v>0</v>
      </c>
    </row>
    <row r="31" spans="1:10" ht="15.75" thickBot="1">
      <c r="A31" s="123" t="s">
        <v>356</v>
      </c>
      <c r="B31" s="124" t="s">
        <v>327</v>
      </c>
      <c r="C31" s="125">
        <v>13</v>
      </c>
      <c r="D31" s="126">
        <v>115</v>
      </c>
      <c r="E31" s="127" t="s">
        <v>458</v>
      </c>
      <c r="F31" s="124" t="s">
        <v>489</v>
      </c>
      <c r="G31" s="127" t="s">
        <v>280</v>
      </c>
      <c r="I31" s="48" t="s">
        <v>0</v>
      </c>
      <c r="J31" s="48" t="s">
        <v>0</v>
      </c>
    </row>
    <row r="32" spans="1:10" ht="15.75" thickBot="1">
      <c r="A32" s="123" t="s">
        <v>355</v>
      </c>
      <c r="B32" s="124" t="s">
        <v>354</v>
      </c>
      <c r="C32" s="125">
        <v>14</v>
      </c>
      <c r="D32" s="126">
        <v>126</v>
      </c>
      <c r="E32" s="127" t="s">
        <v>457</v>
      </c>
      <c r="F32" s="124" t="s">
        <v>487</v>
      </c>
      <c r="G32" s="127" t="s">
        <v>280</v>
      </c>
      <c r="I32" s="48" t="s">
        <v>0</v>
      </c>
      <c r="J32" s="48" t="s">
        <v>0</v>
      </c>
    </row>
    <row r="33" spans="1:10" ht="15.75" thickBot="1">
      <c r="A33" s="123" t="s">
        <v>353</v>
      </c>
      <c r="B33" s="124" t="s">
        <v>254</v>
      </c>
      <c r="C33" s="125">
        <v>13</v>
      </c>
      <c r="D33" s="126">
        <v>148</v>
      </c>
      <c r="E33" s="127" t="s">
        <v>457</v>
      </c>
      <c r="F33" s="124" t="s">
        <v>489</v>
      </c>
      <c r="G33" s="127" t="s">
        <v>264</v>
      </c>
      <c r="I33" s="48" t="s">
        <v>0</v>
      </c>
      <c r="J33" s="48" t="s">
        <v>0</v>
      </c>
    </row>
    <row r="34" spans="1:10" ht="15.75" thickBot="1">
      <c r="A34" s="123" t="s">
        <v>352</v>
      </c>
      <c r="B34" s="124" t="s">
        <v>317</v>
      </c>
      <c r="C34" s="125">
        <v>13</v>
      </c>
      <c r="D34" s="126">
        <v>138</v>
      </c>
      <c r="E34" s="127" t="s">
        <v>458</v>
      </c>
      <c r="F34" s="124" t="s">
        <v>487</v>
      </c>
      <c r="G34" s="127" t="s">
        <v>256</v>
      </c>
      <c r="I34" s="48" t="s">
        <v>0</v>
      </c>
      <c r="J34" s="48" t="s">
        <v>0</v>
      </c>
    </row>
    <row r="35" spans="1:10" ht="15.75" thickBot="1">
      <c r="A35" s="123" t="s">
        <v>351</v>
      </c>
      <c r="B35" s="124" t="s">
        <v>265</v>
      </c>
      <c r="C35" s="125">
        <v>15</v>
      </c>
      <c r="D35" s="126">
        <v>134</v>
      </c>
      <c r="E35" s="127" t="s">
        <v>457</v>
      </c>
      <c r="F35" s="124" t="s">
        <v>489</v>
      </c>
      <c r="G35" s="127" t="s">
        <v>250</v>
      </c>
      <c r="I35" s="48" t="s">
        <v>0</v>
      </c>
      <c r="J35" s="48" t="s">
        <v>0</v>
      </c>
    </row>
    <row r="36" spans="1:10" ht="15.75" thickBot="1">
      <c r="A36" s="123" t="s">
        <v>350</v>
      </c>
      <c r="B36" s="124" t="s">
        <v>254</v>
      </c>
      <c r="C36" s="125">
        <v>12</v>
      </c>
      <c r="D36" s="126">
        <v>139</v>
      </c>
      <c r="E36" s="127" t="s">
        <v>457</v>
      </c>
      <c r="F36" s="124" t="s">
        <v>486</v>
      </c>
      <c r="G36" s="127" t="s">
        <v>250</v>
      </c>
      <c r="I36" s="48" t="s">
        <v>0</v>
      </c>
      <c r="J36" s="48" t="s">
        <v>0</v>
      </c>
    </row>
    <row r="37" spans="1:10" ht="15.75" thickBot="1">
      <c r="A37" s="123" t="s">
        <v>349</v>
      </c>
      <c r="B37" s="124" t="s">
        <v>348</v>
      </c>
      <c r="C37" s="125">
        <v>11</v>
      </c>
      <c r="D37" s="126">
        <v>124</v>
      </c>
      <c r="E37" s="127" t="s">
        <v>458</v>
      </c>
      <c r="F37" s="124" t="s">
        <v>485</v>
      </c>
      <c r="G37" s="127" t="s">
        <v>260</v>
      </c>
      <c r="I37" s="48" t="s">
        <v>0</v>
      </c>
      <c r="J37" s="48" t="s">
        <v>0</v>
      </c>
    </row>
    <row r="38" spans="1:10" ht="15.75" thickBot="1">
      <c r="A38" s="123" t="s">
        <v>347</v>
      </c>
      <c r="B38" s="124" t="s">
        <v>265</v>
      </c>
      <c r="C38" s="125">
        <v>14</v>
      </c>
      <c r="D38" s="126">
        <v>127</v>
      </c>
      <c r="E38" s="127" t="s">
        <v>457</v>
      </c>
      <c r="F38" s="124" t="s">
        <v>486</v>
      </c>
      <c r="G38" s="127" t="s">
        <v>250</v>
      </c>
      <c r="I38" s="48" t="s">
        <v>0</v>
      </c>
      <c r="J38" s="48" t="s">
        <v>0</v>
      </c>
    </row>
    <row r="39" spans="1:10" ht="15.75" thickBot="1">
      <c r="A39" s="123" t="s">
        <v>346</v>
      </c>
      <c r="B39" s="124" t="s">
        <v>302</v>
      </c>
      <c r="C39" s="125">
        <v>14</v>
      </c>
      <c r="D39" s="126">
        <v>142</v>
      </c>
      <c r="E39" s="127" t="s">
        <v>457</v>
      </c>
      <c r="F39" s="124" t="s">
        <v>486</v>
      </c>
      <c r="G39" s="127" t="s">
        <v>280</v>
      </c>
      <c r="I39" s="48" t="s">
        <v>0</v>
      </c>
      <c r="J39" s="48" t="s">
        <v>0</v>
      </c>
    </row>
    <row r="40" spans="1:10" ht="15.75" thickBot="1">
      <c r="A40" s="123" t="s">
        <v>345</v>
      </c>
      <c r="B40" s="124" t="s">
        <v>257</v>
      </c>
      <c r="C40" s="125">
        <v>14</v>
      </c>
      <c r="D40" s="126">
        <v>149</v>
      </c>
      <c r="E40" s="127" t="s">
        <v>458</v>
      </c>
      <c r="F40" s="124" t="s">
        <v>489</v>
      </c>
      <c r="G40" s="127" t="s">
        <v>264</v>
      </c>
      <c r="I40" s="48" t="s">
        <v>0</v>
      </c>
      <c r="J40" s="48" t="s">
        <v>0</v>
      </c>
    </row>
    <row r="41" spans="1:10" ht="15.75" thickBot="1">
      <c r="A41" s="123" t="s">
        <v>492</v>
      </c>
      <c r="B41" s="124" t="s">
        <v>306</v>
      </c>
      <c r="C41" s="125">
        <v>14</v>
      </c>
      <c r="D41" s="126">
        <v>156</v>
      </c>
      <c r="E41" s="127" t="s">
        <v>457</v>
      </c>
      <c r="F41" s="124" t="s">
        <v>489</v>
      </c>
      <c r="G41" s="127" t="s">
        <v>250</v>
      </c>
      <c r="I41" s="48" t="s">
        <v>0</v>
      </c>
      <c r="J41" s="48" t="s">
        <v>0</v>
      </c>
    </row>
    <row r="42" spans="1:10" ht="15.75" thickBot="1">
      <c r="A42" s="123" t="s">
        <v>493</v>
      </c>
      <c r="B42" s="124" t="s">
        <v>251</v>
      </c>
      <c r="C42" s="125">
        <v>11</v>
      </c>
      <c r="D42" s="126">
        <v>128</v>
      </c>
      <c r="E42" s="127" t="s">
        <v>458</v>
      </c>
      <c r="F42" s="124" t="s">
        <v>486</v>
      </c>
      <c r="G42" s="127" t="s">
        <v>260</v>
      </c>
      <c r="I42" s="48" t="s">
        <v>0</v>
      </c>
      <c r="J42" s="48" t="s">
        <v>0</v>
      </c>
    </row>
    <row r="43" spans="1:10" ht="15.75" thickBot="1">
      <c r="A43" s="123" t="s">
        <v>344</v>
      </c>
      <c r="B43" s="124" t="s">
        <v>257</v>
      </c>
      <c r="C43" s="125">
        <v>13</v>
      </c>
      <c r="D43" s="126">
        <v>147</v>
      </c>
      <c r="E43" s="127" t="s">
        <v>458</v>
      </c>
      <c r="F43" s="124" t="s">
        <v>489</v>
      </c>
      <c r="G43" s="127" t="s">
        <v>264</v>
      </c>
      <c r="I43" s="48" t="s">
        <v>0</v>
      </c>
      <c r="J43" s="48" t="s">
        <v>0</v>
      </c>
    </row>
    <row r="44" spans="1:10" ht="15.75" thickBot="1">
      <c r="A44" s="123" t="s">
        <v>343</v>
      </c>
      <c r="B44" s="124" t="s">
        <v>342</v>
      </c>
      <c r="C44" s="125">
        <v>13</v>
      </c>
      <c r="D44" s="126">
        <v>140</v>
      </c>
      <c r="E44" s="127" t="s">
        <v>457</v>
      </c>
      <c r="F44" s="124" t="s">
        <v>486</v>
      </c>
      <c r="G44" s="127" t="s">
        <v>280</v>
      </c>
      <c r="I44" s="48" t="s">
        <v>0</v>
      </c>
      <c r="J44" s="48" t="s">
        <v>0</v>
      </c>
    </row>
    <row r="45" spans="1:10" ht="15.75" thickBot="1">
      <c r="A45" s="123" t="s">
        <v>341</v>
      </c>
      <c r="B45" s="124" t="s">
        <v>327</v>
      </c>
      <c r="C45" s="125">
        <v>11</v>
      </c>
      <c r="D45" s="126">
        <v>137</v>
      </c>
      <c r="E45" s="127" t="s">
        <v>458</v>
      </c>
      <c r="F45" s="124" t="s">
        <v>487</v>
      </c>
      <c r="G45" s="127" t="s">
        <v>264</v>
      </c>
      <c r="I45" s="48" t="s">
        <v>0</v>
      </c>
      <c r="J45" s="48" t="s">
        <v>0</v>
      </c>
    </row>
    <row r="46" spans="1:10" ht="15.75" thickBot="1">
      <c r="A46" s="123" t="s">
        <v>340</v>
      </c>
      <c r="B46" s="124" t="s">
        <v>494</v>
      </c>
      <c r="C46" s="125">
        <v>12</v>
      </c>
      <c r="D46" s="126">
        <v>138</v>
      </c>
      <c r="E46" s="127" t="s">
        <v>457</v>
      </c>
      <c r="F46" s="124" t="s">
        <v>485</v>
      </c>
      <c r="G46" s="127" t="s">
        <v>250</v>
      </c>
      <c r="I46" s="48" t="s">
        <v>0</v>
      </c>
      <c r="J46" s="48" t="s">
        <v>0</v>
      </c>
    </row>
    <row r="47" spans="1:10" ht="15.75" thickBot="1">
      <c r="A47" s="123" t="s">
        <v>339</v>
      </c>
      <c r="B47" s="124" t="s">
        <v>309</v>
      </c>
      <c r="C47" s="125">
        <v>13</v>
      </c>
      <c r="D47" s="126">
        <v>123</v>
      </c>
      <c r="E47" s="127" t="s">
        <v>458</v>
      </c>
      <c r="F47" s="124" t="s">
        <v>489</v>
      </c>
      <c r="G47" s="127" t="s">
        <v>250</v>
      </c>
      <c r="I47" s="48" t="s">
        <v>0</v>
      </c>
      <c r="J47" s="48" t="s">
        <v>0</v>
      </c>
    </row>
    <row r="48" spans="1:10" ht="15.75" thickBot="1">
      <c r="A48" s="123" t="s">
        <v>338</v>
      </c>
      <c r="B48" s="124" t="s">
        <v>337</v>
      </c>
      <c r="C48" s="125">
        <v>14</v>
      </c>
      <c r="D48" s="126">
        <v>128</v>
      </c>
      <c r="E48" s="127" t="s">
        <v>457</v>
      </c>
      <c r="F48" s="124" t="s">
        <v>486</v>
      </c>
      <c r="G48" s="127" t="s">
        <v>256</v>
      </c>
      <c r="I48" s="48" t="s">
        <v>0</v>
      </c>
      <c r="J48" s="48" t="s">
        <v>0</v>
      </c>
    </row>
    <row r="49" spans="1:10" ht="15.75" thickBot="1">
      <c r="A49" s="123" t="s">
        <v>336</v>
      </c>
      <c r="B49" s="124" t="s">
        <v>327</v>
      </c>
      <c r="C49" s="125">
        <v>12</v>
      </c>
      <c r="D49" s="126">
        <v>139</v>
      </c>
      <c r="E49" s="127" t="s">
        <v>458</v>
      </c>
      <c r="F49" s="124" t="s">
        <v>486</v>
      </c>
      <c r="G49" s="127" t="s">
        <v>250</v>
      </c>
      <c r="I49" s="48" t="s">
        <v>0</v>
      </c>
      <c r="J49" s="48" t="s">
        <v>0</v>
      </c>
    </row>
    <row r="50" spans="1:10" ht="15.75" thickBot="1">
      <c r="A50" s="123" t="s">
        <v>335</v>
      </c>
      <c r="B50" s="124" t="s">
        <v>334</v>
      </c>
      <c r="C50" s="125">
        <v>13</v>
      </c>
      <c r="D50" s="126">
        <v>129</v>
      </c>
      <c r="E50" s="127" t="s">
        <v>457</v>
      </c>
      <c r="F50" s="124" t="s">
        <v>486</v>
      </c>
      <c r="G50" s="127" t="s">
        <v>256</v>
      </c>
      <c r="I50" s="48" t="s">
        <v>0</v>
      </c>
      <c r="J50" s="48" t="s">
        <v>0</v>
      </c>
    </row>
    <row r="51" spans="1:10" ht="15.75" thickBot="1">
      <c r="A51" s="123" t="s">
        <v>333</v>
      </c>
      <c r="B51" s="124" t="s">
        <v>265</v>
      </c>
      <c r="C51" s="125">
        <v>15</v>
      </c>
      <c r="D51" s="126">
        <v>126</v>
      </c>
      <c r="E51" s="127" t="s">
        <v>457</v>
      </c>
      <c r="F51" s="124" t="s">
        <v>487</v>
      </c>
      <c r="G51" s="127" t="s">
        <v>260</v>
      </c>
      <c r="I51" s="48" t="s">
        <v>0</v>
      </c>
      <c r="J51" s="48" t="s">
        <v>0</v>
      </c>
    </row>
    <row r="52" spans="1:10" ht="15.75" thickBot="1">
      <c r="A52" s="123" t="s">
        <v>332</v>
      </c>
      <c r="B52" s="124" t="s">
        <v>495</v>
      </c>
      <c r="C52" s="125">
        <v>11</v>
      </c>
      <c r="D52" s="126">
        <v>140</v>
      </c>
      <c r="E52" s="127" t="s">
        <v>458</v>
      </c>
      <c r="F52" s="124" t="s">
        <v>486</v>
      </c>
      <c r="G52" s="127" t="s">
        <v>250</v>
      </c>
      <c r="I52" s="48" t="s">
        <v>0</v>
      </c>
      <c r="J52" s="48" t="s">
        <v>0</v>
      </c>
    </row>
    <row r="53" spans="1:10" ht="15.75" thickBot="1">
      <c r="A53" s="123" t="s">
        <v>331</v>
      </c>
      <c r="B53" s="124" t="s">
        <v>285</v>
      </c>
      <c r="C53" s="125">
        <v>13</v>
      </c>
      <c r="D53" s="126">
        <v>142</v>
      </c>
      <c r="E53" s="127" t="s">
        <v>458</v>
      </c>
      <c r="F53" s="124" t="s">
        <v>486</v>
      </c>
      <c r="G53" s="127" t="s">
        <v>260</v>
      </c>
      <c r="I53" s="48" t="s">
        <v>0</v>
      </c>
      <c r="J53" s="48" t="s">
        <v>0</v>
      </c>
    </row>
    <row r="54" spans="1:10" ht="15.75" thickBot="1">
      <c r="A54" s="123" t="s">
        <v>330</v>
      </c>
      <c r="B54" s="124" t="s">
        <v>277</v>
      </c>
      <c r="C54" s="125">
        <v>13</v>
      </c>
      <c r="D54" s="126">
        <v>116</v>
      </c>
      <c r="E54" s="127" t="s">
        <v>458</v>
      </c>
      <c r="F54" s="124" t="s">
        <v>489</v>
      </c>
      <c r="G54" s="127" t="s">
        <v>280</v>
      </c>
      <c r="I54" s="48" t="s">
        <v>0</v>
      </c>
      <c r="J54" s="48" t="s">
        <v>0</v>
      </c>
    </row>
    <row r="55" spans="1:10" ht="15.75" thickBot="1">
      <c r="A55" s="123" t="s">
        <v>329</v>
      </c>
      <c r="B55" s="124" t="s">
        <v>306</v>
      </c>
      <c r="C55" s="125">
        <v>11</v>
      </c>
      <c r="D55" s="126">
        <v>125</v>
      </c>
      <c r="E55" s="127" t="s">
        <v>457</v>
      </c>
      <c r="F55" s="124" t="s">
        <v>487</v>
      </c>
      <c r="G55" s="127" t="s">
        <v>260</v>
      </c>
      <c r="I55" s="48" t="s">
        <v>0</v>
      </c>
      <c r="J55" s="48" t="s">
        <v>0</v>
      </c>
    </row>
    <row r="56" spans="1:10" ht="15.75" thickBot="1">
      <c r="A56" s="123" t="s">
        <v>328</v>
      </c>
      <c r="B56" s="124" t="s">
        <v>327</v>
      </c>
      <c r="C56" s="125">
        <v>14</v>
      </c>
      <c r="D56" s="126">
        <v>117</v>
      </c>
      <c r="E56" s="127" t="s">
        <v>458</v>
      </c>
      <c r="F56" s="124" t="s">
        <v>489</v>
      </c>
      <c r="G56" s="127" t="s">
        <v>260</v>
      </c>
      <c r="I56" s="48" t="s">
        <v>0</v>
      </c>
      <c r="J56" s="48" t="s">
        <v>0</v>
      </c>
    </row>
    <row r="57" spans="1:10" ht="15.75" thickBot="1">
      <c r="A57" s="123" t="s">
        <v>326</v>
      </c>
      <c r="B57" s="124" t="s">
        <v>325</v>
      </c>
      <c r="C57" s="125">
        <v>13</v>
      </c>
      <c r="D57" s="126">
        <v>130</v>
      </c>
      <c r="E57" s="127" t="s">
        <v>457</v>
      </c>
      <c r="F57" s="124" t="s">
        <v>486</v>
      </c>
      <c r="G57" s="127" t="s">
        <v>250</v>
      </c>
      <c r="I57" s="48" t="s">
        <v>0</v>
      </c>
      <c r="J57" s="48" t="s">
        <v>0</v>
      </c>
    </row>
    <row r="58" spans="1:10" ht="15.75" thickBot="1">
      <c r="A58" s="123" t="s">
        <v>324</v>
      </c>
      <c r="B58" s="124" t="s">
        <v>257</v>
      </c>
      <c r="C58" s="125">
        <v>14</v>
      </c>
      <c r="D58" s="126">
        <v>118</v>
      </c>
      <c r="E58" s="127" t="s">
        <v>458</v>
      </c>
      <c r="F58" s="124" t="s">
        <v>489</v>
      </c>
      <c r="G58" s="127" t="s">
        <v>260</v>
      </c>
      <c r="I58" s="48" t="s">
        <v>0</v>
      </c>
      <c r="J58" s="48" t="s">
        <v>0</v>
      </c>
    </row>
    <row r="59" spans="1:10" ht="15.75" thickBot="1">
      <c r="A59" s="123" t="s">
        <v>323</v>
      </c>
      <c r="B59" s="124" t="s">
        <v>322</v>
      </c>
      <c r="C59" s="125">
        <v>13</v>
      </c>
      <c r="D59" s="126">
        <v>131</v>
      </c>
      <c r="E59" s="127" t="s">
        <v>457</v>
      </c>
      <c r="F59" s="124" t="s">
        <v>486</v>
      </c>
      <c r="G59" s="127" t="s">
        <v>256</v>
      </c>
      <c r="I59" s="48" t="s">
        <v>0</v>
      </c>
      <c r="J59" s="48" t="s">
        <v>0</v>
      </c>
    </row>
    <row r="60" spans="1:10" ht="15.75" thickBot="1">
      <c r="A60" s="123" t="s">
        <v>321</v>
      </c>
      <c r="B60" s="124" t="s">
        <v>296</v>
      </c>
      <c r="C60" s="125">
        <v>12</v>
      </c>
      <c r="D60" s="126">
        <v>134</v>
      </c>
      <c r="E60" s="127" t="s">
        <v>457</v>
      </c>
      <c r="F60" s="124" t="s">
        <v>489</v>
      </c>
      <c r="G60" s="127" t="s">
        <v>250</v>
      </c>
      <c r="I60" s="48" t="s">
        <v>0</v>
      </c>
      <c r="J60" s="48" t="s">
        <v>0</v>
      </c>
    </row>
    <row r="61" spans="1:10" ht="15.75" thickBot="1">
      <c r="A61" s="123" t="s">
        <v>320</v>
      </c>
      <c r="B61" s="124" t="s">
        <v>495</v>
      </c>
      <c r="C61" s="125">
        <v>12</v>
      </c>
      <c r="D61" s="126">
        <v>156</v>
      </c>
      <c r="E61" s="127" t="s">
        <v>458</v>
      </c>
      <c r="F61" s="124" t="s">
        <v>485</v>
      </c>
      <c r="G61" s="127" t="s">
        <v>250</v>
      </c>
      <c r="I61" s="48" t="s">
        <v>0</v>
      </c>
      <c r="J61" s="48" t="s">
        <v>0</v>
      </c>
    </row>
    <row r="62" spans="1:10" ht="15.75" thickBot="1">
      <c r="A62" s="123" t="s">
        <v>319</v>
      </c>
      <c r="B62" s="124" t="s">
        <v>265</v>
      </c>
      <c r="C62" s="125">
        <v>14</v>
      </c>
      <c r="D62" s="126">
        <v>144</v>
      </c>
      <c r="E62" s="127" t="s">
        <v>457</v>
      </c>
      <c r="F62" s="124" t="s">
        <v>486</v>
      </c>
      <c r="G62" s="127" t="s">
        <v>250</v>
      </c>
      <c r="I62" s="48" t="s">
        <v>0</v>
      </c>
      <c r="J62" s="48" t="s">
        <v>0</v>
      </c>
    </row>
    <row r="63" spans="1:10" ht="15.75" thickBot="1">
      <c r="A63" s="123" t="s">
        <v>318</v>
      </c>
      <c r="B63" s="124" t="s">
        <v>495</v>
      </c>
      <c r="C63" s="125">
        <v>14</v>
      </c>
      <c r="D63" s="126">
        <v>146</v>
      </c>
      <c r="E63" s="127" t="s">
        <v>458</v>
      </c>
      <c r="F63" s="124" t="s">
        <v>486</v>
      </c>
      <c r="G63" s="127" t="s">
        <v>264</v>
      </c>
      <c r="I63" s="48" t="s">
        <v>0</v>
      </c>
      <c r="J63" s="48" t="s">
        <v>0</v>
      </c>
    </row>
    <row r="64" spans="1:10" ht="15.75" thickBot="1">
      <c r="A64" s="123" t="s">
        <v>318</v>
      </c>
      <c r="B64" s="124" t="s">
        <v>317</v>
      </c>
      <c r="C64" s="125">
        <v>14</v>
      </c>
      <c r="D64" s="126">
        <v>145</v>
      </c>
      <c r="E64" s="127" t="s">
        <v>458</v>
      </c>
      <c r="F64" s="124" t="s">
        <v>489</v>
      </c>
      <c r="G64" s="127" t="s">
        <v>264</v>
      </c>
      <c r="I64" s="48" t="s">
        <v>0</v>
      </c>
      <c r="J64" s="48" t="s">
        <v>0</v>
      </c>
    </row>
    <row r="65" spans="1:10" ht="15.75" thickBot="1">
      <c r="A65" s="123" t="s">
        <v>316</v>
      </c>
      <c r="B65" s="124" t="s">
        <v>315</v>
      </c>
      <c r="C65" s="125">
        <v>11</v>
      </c>
      <c r="D65" s="126">
        <v>134</v>
      </c>
      <c r="E65" s="127" t="s">
        <v>457</v>
      </c>
      <c r="F65" s="124" t="s">
        <v>489</v>
      </c>
      <c r="G65" s="127" t="s">
        <v>256</v>
      </c>
      <c r="I65" s="48" t="s">
        <v>0</v>
      </c>
      <c r="J65" s="48" t="s">
        <v>0</v>
      </c>
    </row>
    <row r="66" spans="1:10" ht="15.75" thickBot="1">
      <c r="A66" s="123" t="s">
        <v>314</v>
      </c>
      <c r="B66" s="124" t="s">
        <v>313</v>
      </c>
      <c r="C66" s="125">
        <v>14</v>
      </c>
      <c r="D66" s="126">
        <v>132</v>
      </c>
      <c r="E66" s="127" t="s">
        <v>457</v>
      </c>
      <c r="F66" s="124" t="s">
        <v>489</v>
      </c>
      <c r="G66" s="127" t="s">
        <v>256</v>
      </c>
      <c r="I66" s="48" t="s">
        <v>0</v>
      </c>
      <c r="J66" s="48" t="s">
        <v>0</v>
      </c>
    </row>
    <row r="67" spans="1:10" ht="15.75" thickBot="1">
      <c r="A67" s="123" t="s">
        <v>312</v>
      </c>
      <c r="B67" s="124" t="s">
        <v>311</v>
      </c>
      <c r="C67" s="125">
        <v>11</v>
      </c>
      <c r="D67" s="126">
        <v>141</v>
      </c>
      <c r="E67" s="127" t="s">
        <v>457</v>
      </c>
      <c r="F67" s="124" t="s">
        <v>486</v>
      </c>
      <c r="G67" s="127" t="s">
        <v>250</v>
      </c>
      <c r="I67" s="48" t="s">
        <v>0</v>
      </c>
      <c r="J67" s="48" t="s">
        <v>0</v>
      </c>
    </row>
    <row r="68" spans="1:10" ht="15.75" thickBot="1">
      <c r="A68" s="123" t="s">
        <v>310</v>
      </c>
      <c r="B68" s="124" t="s">
        <v>309</v>
      </c>
      <c r="C68" s="125">
        <v>13</v>
      </c>
      <c r="D68" s="126">
        <v>119</v>
      </c>
      <c r="E68" s="127" t="s">
        <v>458</v>
      </c>
      <c r="F68" s="124" t="s">
        <v>489</v>
      </c>
      <c r="G68" s="127" t="s">
        <v>260</v>
      </c>
      <c r="I68" s="48" t="s">
        <v>0</v>
      </c>
      <c r="J68" s="48" t="s">
        <v>0</v>
      </c>
    </row>
    <row r="69" spans="1:10" ht="15.75" thickBot="1">
      <c r="A69" s="123" t="s">
        <v>307</v>
      </c>
      <c r="B69" s="124" t="s">
        <v>308</v>
      </c>
      <c r="C69" s="125">
        <v>13</v>
      </c>
      <c r="D69" s="126">
        <v>134</v>
      </c>
      <c r="E69" s="127" t="s">
        <v>457</v>
      </c>
      <c r="F69" s="124" t="s">
        <v>489</v>
      </c>
      <c r="G69" s="127" t="s">
        <v>250</v>
      </c>
      <c r="I69" s="48" t="s">
        <v>0</v>
      </c>
      <c r="J69" s="48" t="s">
        <v>0</v>
      </c>
    </row>
    <row r="70" spans="1:10" ht="15.75" thickBot="1">
      <c r="A70" s="123" t="s">
        <v>307</v>
      </c>
      <c r="B70" s="124" t="s">
        <v>306</v>
      </c>
      <c r="C70" s="125">
        <v>15</v>
      </c>
      <c r="D70" s="126">
        <v>156</v>
      </c>
      <c r="E70" s="127" t="s">
        <v>457</v>
      </c>
      <c r="F70" s="124" t="s">
        <v>487</v>
      </c>
      <c r="G70" s="127" t="s">
        <v>256</v>
      </c>
      <c r="I70" s="48" t="s">
        <v>0</v>
      </c>
      <c r="J70" s="48" t="s">
        <v>0</v>
      </c>
    </row>
    <row r="71" spans="1:10" ht="15.75" thickBot="1">
      <c r="A71" s="123" t="s">
        <v>305</v>
      </c>
      <c r="B71" s="124" t="s">
        <v>304</v>
      </c>
      <c r="C71" s="125">
        <v>14</v>
      </c>
      <c r="D71" s="126">
        <v>120</v>
      </c>
      <c r="E71" s="127" t="s">
        <v>458</v>
      </c>
      <c r="F71" s="124" t="s">
        <v>486</v>
      </c>
      <c r="G71" s="127" t="s">
        <v>250</v>
      </c>
      <c r="I71" s="48" t="s">
        <v>0</v>
      </c>
      <c r="J71" s="48" t="s">
        <v>0</v>
      </c>
    </row>
    <row r="72" spans="1:10" ht="15.75" thickBot="1">
      <c r="A72" s="123" t="s">
        <v>303</v>
      </c>
      <c r="B72" s="124" t="s">
        <v>302</v>
      </c>
      <c r="C72" s="125">
        <v>12</v>
      </c>
      <c r="D72" s="126">
        <v>137</v>
      </c>
      <c r="E72" s="127" t="s">
        <v>457</v>
      </c>
      <c r="F72" s="124" t="s">
        <v>485</v>
      </c>
      <c r="G72" s="127" t="s">
        <v>264</v>
      </c>
      <c r="I72" s="48" t="s">
        <v>0</v>
      </c>
      <c r="J72" s="48" t="s">
        <v>0</v>
      </c>
    </row>
    <row r="73" spans="1:10" ht="15.75" thickBot="1">
      <c r="A73" s="123" t="s">
        <v>301</v>
      </c>
      <c r="B73" s="124" t="s">
        <v>268</v>
      </c>
      <c r="C73" s="125">
        <v>14</v>
      </c>
      <c r="D73" s="126">
        <v>112</v>
      </c>
      <c r="E73" s="127" t="s">
        <v>457</v>
      </c>
      <c r="F73" s="124" t="s">
        <v>487</v>
      </c>
      <c r="G73" s="127" t="s">
        <v>256</v>
      </c>
      <c r="I73" s="48" t="s">
        <v>0</v>
      </c>
      <c r="J73" s="48" t="s">
        <v>0</v>
      </c>
    </row>
    <row r="74" spans="1:10" ht="15.75" thickBot="1">
      <c r="A74" s="123" t="s">
        <v>300</v>
      </c>
      <c r="B74" s="124" t="s">
        <v>299</v>
      </c>
      <c r="C74" s="125">
        <v>14</v>
      </c>
      <c r="D74" s="126">
        <v>121</v>
      </c>
      <c r="E74" s="127" t="s">
        <v>458</v>
      </c>
      <c r="F74" s="124" t="s">
        <v>487</v>
      </c>
      <c r="G74" s="127" t="s">
        <v>260</v>
      </c>
      <c r="I74" s="48" t="s">
        <v>0</v>
      </c>
      <c r="J74" s="48" t="s">
        <v>0</v>
      </c>
    </row>
    <row r="75" spans="1:10" ht="15.75" thickBot="1">
      <c r="A75" s="123" t="s">
        <v>298</v>
      </c>
      <c r="B75" s="124" t="s">
        <v>297</v>
      </c>
      <c r="C75" s="125">
        <v>12</v>
      </c>
      <c r="D75" s="126">
        <v>141</v>
      </c>
      <c r="E75" s="127" t="s">
        <v>457</v>
      </c>
      <c r="F75" s="124" t="s">
        <v>489</v>
      </c>
      <c r="G75" s="127" t="s">
        <v>280</v>
      </c>
      <c r="I75" s="48" t="s">
        <v>0</v>
      </c>
      <c r="J75" s="48" t="s">
        <v>0</v>
      </c>
    </row>
    <row r="76" spans="1:10" ht="15.75" thickBot="1">
      <c r="A76" s="123" t="s">
        <v>227</v>
      </c>
      <c r="B76" s="124" t="s">
        <v>296</v>
      </c>
      <c r="C76" s="125">
        <v>14</v>
      </c>
      <c r="D76" s="126">
        <v>149</v>
      </c>
      <c r="E76" s="127" t="s">
        <v>457</v>
      </c>
      <c r="F76" s="124" t="s">
        <v>489</v>
      </c>
      <c r="G76" s="127" t="s">
        <v>264</v>
      </c>
      <c r="I76" s="48" t="s">
        <v>0</v>
      </c>
      <c r="J76" s="48" t="s">
        <v>0</v>
      </c>
    </row>
    <row r="77" spans="1:10" ht="15.75" thickBot="1">
      <c r="A77" s="123" t="s">
        <v>227</v>
      </c>
      <c r="B77" s="124" t="s">
        <v>257</v>
      </c>
      <c r="C77" s="125">
        <v>12</v>
      </c>
      <c r="D77" s="126">
        <v>124</v>
      </c>
      <c r="E77" s="127" t="s">
        <v>458</v>
      </c>
      <c r="F77" s="124" t="s">
        <v>485</v>
      </c>
      <c r="G77" s="127" t="s">
        <v>260</v>
      </c>
      <c r="I77" s="48" t="s">
        <v>0</v>
      </c>
      <c r="J77" s="48" t="s">
        <v>0</v>
      </c>
    </row>
    <row r="78" spans="1:10" ht="15.75" thickBot="1">
      <c r="A78" s="123" t="s">
        <v>295</v>
      </c>
      <c r="B78" s="124" t="s">
        <v>294</v>
      </c>
      <c r="C78" s="125">
        <v>12</v>
      </c>
      <c r="D78" s="126">
        <v>144</v>
      </c>
      <c r="E78" s="127" t="s">
        <v>458</v>
      </c>
      <c r="F78" s="124" t="s">
        <v>486</v>
      </c>
      <c r="G78" s="127" t="s">
        <v>250</v>
      </c>
      <c r="I78" s="48" t="s">
        <v>0</v>
      </c>
      <c r="J78" s="48" t="s">
        <v>0</v>
      </c>
    </row>
    <row r="79" spans="1:10" ht="15.75" thickBot="1">
      <c r="A79" s="123" t="s">
        <v>496</v>
      </c>
      <c r="B79" s="124" t="s">
        <v>292</v>
      </c>
      <c r="C79" s="125">
        <v>14</v>
      </c>
      <c r="D79" s="126">
        <v>123</v>
      </c>
      <c r="E79" s="127" t="s">
        <v>457</v>
      </c>
      <c r="F79" s="124" t="s">
        <v>485</v>
      </c>
      <c r="G79" s="127" t="s">
        <v>264</v>
      </c>
      <c r="I79" s="48" t="s">
        <v>0</v>
      </c>
      <c r="J79" s="48" t="s">
        <v>0</v>
      </c>
    </row>
    <row r="80" spans="1:10" ht="15.75" thickBot="1">
      <c r="A80" s="123" t="s">
        <v>293</v>
      </c>
      <c r="B80" s="124" t="s">
        <v>292</v>
      </c>
      <c r="C80" s="125">
        <v>11</v>
      </c>
      <c r="D80" s="126">
        <v>135</v>
      </c>
      <c r="E80" s="127" t="s">
        <v>457</v>
      </c>
      <c r="F80" s="124" t="s">
        <v>489</v>
      </c>
      <c r="G80" s="127" t="s">
        <v>280</v>
      </c>
      <c r="I80" s="48" t="s">
        <v>0</v>
      </c>
      <c r="J80" s="48" t="s">
        <v>0</v>
      </c>
    </row>
    <row r="81" spans="1:10" ht="15.75" thickBot="1">
      <c r="A81" s="123" t="s">
        <v>291</v>
      </c>
      <c r="B81" s="124" t="s">
        <v>290</v>
      </c>
      <c r="C81" s="125">
        <v>14</v>
      </c>
      <c r="D81" s="126">
        <v>113</v>
      </c>
      <c r="E81" s="127" t="s">
        <v>457</v>
      </c>
      <c r="F81" s="124" t="s">
        <v>487</v>
      </c>
      <c r="G81" s="127" t="s">
        <v>256</v>
      </c>
      <c r="I81" s="48" t="s">
        <v>0</v>
      </c>
      <c r="J81" s="48" t="s">
        <v>0</v>
      </c>
    </row>
    <row r="82" spans="1:10" ht="15.75" thickBot="1">
      <c r="A82" s="123" t="s">
        <v>497</v>
      </c>
      <c r="B82" s="124" t="s">
        <v>498</v>
      </c>
      <c r="C82" s="125">
        <v>11</v>
      </c>
      <c r="D82" s="126">
        <v>142</v>
      </c>
      <c r="E82" s="127" t="s">
        <v>458</v>
      </c>
      <c r="F82" s="124" t="s">
        <v>485</v>
      </c>
      <c r="G82" s="127" t="s">
        <v>260</v>
      </c>
      <c r="I82" s="48" t="s">
        <v>0</v>
      </c>
      <c r="J82" s="48" t="s">
        <v>0</v>
      </c>
    </row>
    <row r="83" spans="1:10" ht="15.75" thickBot="1">
      <c r="A83" s="123" t="s">
        <v>289</v>
      </c>
      <c r="B83" s="124" t="s">
        <v>288</v>
      </c>
      <c r="C83" s="125">
        <v>12</v>
      </c>
      <c r="D83" s="126">
        <v>138</v>
      </c>
      <c r="E83" s="127" t="s">
        <v>458</v>
      </c>
      <c r="F83" s="124" t="s">
        <v>487</v>
      </c>
      <c r="G83" s="127" t="s">
        <v>256</v>
      </c>
      <c r="I83" s="48" t="s">
        <v>0</v>
      </c>
      <c r="J83" s="48" t="s">
        <v>0</v>
      </c>
    </row>
    <row r="84" spans="1:10" ht="15.75" thickBot="1">
      <c r="A84" s="123" t="s">
        <v>499</v>
      </c>
      <c r="B84" s="124" t="s">
        <v>287</v>
      </c>
      <c r="C84" s="125">
        <v>13</v>
      </c>
      <c r="D84" s="126">
        <v>122</v>
      </c>
      <c r="E84" s="127" t="s">
        <v>458</v>
      </c>
      <c r="F84" s="124" t="s">
        <v>487</v>
      </c>
      <c r="G84" s="127" t="s">
        <v>260</v>
      </c>
      <c r="I84" s="48" t="s">
        <v>0</v>
      </c>
      <c r="J84" s="48" t="s">
        <v>0</v>
      </c>
    </row>
    <row r="85" spans="1:10" ht="15.75" thickBot="1">
      <c r="A85" s="123" t="s">
        <v>286</v>
      </c>
      <c r="B85" s="124" t="s">
        <v>285</v>
      </c>
      <c r="C85" s="125">
        <v>15</v>
      </c>
      <c r="D85" s="126">
        <v>133</v>
      </c>
      <c r="E85" s="127" t="s">
        <v>458</v>
      </c>
      <c r="F85" s="124" t="s">
        <v>487</v>
      </c>
      <c r="G85" s="127" t="s">
        <v>260</v>
      </c>
      <c r="I85" s="48" t="s">
        <v>0</v>
      </c>
      <c r="J85" s="48" t="s">
        <v>0</v>
      </c>
    </row>
    <row r="86" spans="1:10" ht="15.75" thickBot="1">
      <c r="A86" s="123" t="s">
        <v>284</v>
      </c>
      <c r="B86" s="124" t="s">
        <v>283</v>
      </c>
      <c r="C86" s="125">
        <v>12</v>
      </c>
      <c r="D86" s="126">
        <v>150</v>
      </c>
      <c r="E86" s="127" t="s">
        <v>457</v>
      </c>
      <c r="F86" s="124" t="s">
        <v>487</v>
      </c>
      <c r="G86" s="127" t="s">
        <v>264</v>
      </c>
      <c r="I86" s="48" t="s">
        <v>0</v>
      </c>
      <c r="J86" s="48" t="s">
        <v>0</v>
      </c>
    </row>
    <row r="87" spans="1:10" ht="15.75" thickBot="1">
      <c r="A87" s="123" t="s">
        <v>282</v>
      </c>
      <c r="B87" s="124" t="s">
        <v>277</v>
      </c>
      <c r="C87" s="125">
        <v>11</v>
      </c>
      <c r="D87" s="126">
        <v>136</v>
      </c>
      <c r="E87" s="127" t="s">
        <v>458</v>
      </c>
      <c r="F87" s="124" t="s">
        <v>485</v>
      </c>
      <c r="G87" s="127" t="s">
        <v>264</v>
      </c>
      <c r="I87" s="48" t="s">
        <v>0</v>
      </c>
      <c r="J87" s="48" t="s">
        <v>0</v>
      </c>
    </row>
    <row r="88" spans="1:10" ht="15.75" thickBot="1">
      <c r="A88" s="123" t="s">
        <v>281</v>
      </c>
      <c r="B88" s="124" t="s">
        <v>257</v>
      </c>
      <c r="C88" s="125">
        <v>11</v>
      </c>
      <c r="D88" s="126">
        <v>136</v>
      </c>
      <c r="E88" s="127" t="s">
        <v>458</v>
      </c>
      <c r="F88" s="124" t="s">
        <v>486</v>
      </c>
      <c r="G88" s="127" t="s">
        <v>280</v>
      </c>
      <c r="I88" s="48" t="s">
        <v>0</v>
      </c>
      <c r="J88" s="48" t="s">
        <v>0</v>
      </c>
    </row>
    <row r="89" spans="1:10" ht="15.75" thickBot="1">
      <c r="A89" s="123" t="s">
        <v>279</v>
      </c>
      <c r="B89" s="124" t="s">
        <v>500</v>
      </c>
      <c r="C89" s="125">
        <v>11</v>
      </c>
      <c r="D89" s="126">
        <v>130</v>
      </c>
      <c r="E89" s="127" t="s">
        <v>457</v>
      </c>
      <c r="F89" s="124" t="s">
        <v>487</v>
      </c>
      <c r="G89" s="127" t="s">
        <v>260</v>
      </c>
      <c r="I89" s="48" t="s">
        <v>0</v>
      </c>
      <c r="J89" s="48" t="s">
        <v>0</v>
      </c>
    </row>
    <row r="90" spans="1:10" ht="15.75" thickBot="1">
      <c r="A90" s="123" t="s">
        <v>278</v>
      </c>
      <c r="B90" s="124" t="s">
        <v>277</v>
      </c>
      <c r="C90" s="125">
        <v>11</v>
      </c>
      <c r="D90" s="126">
        <v>131</v>
      </c>
      <c r="E90" s="127" t="s">
        <v>458</v>
      </c>
      <c r="F90" s="124" t="s">
        <v>489</v>
      </c>
      <c r="G90" s="127" t="s">
        <v>260</v>
      </c>
      <c r="I90" s="48" t="s">
        <v>0</v>
      </c>
      <c r="J90" s="48" t="s">
        <v>0</v>
      </c>
    </row>
    <row r="91" spans="1:10" ht="15.75" thickBot="1">
      <c r="A91" s="123" t="s">
        <v>276</v>
      </c>
      <c r="B91" s="124" t="s">
        <v>275</v>
      </c>
      <c r="C91" s="125">
        <v>15</v>
      </c>
      <c r="D91" s="126">
        <v>134</v>
      </c>
      <c r="E91" s="127" t="s">
        <v>457</v>
      </c>
      <c r="F91" s="124" t="s">
        <v>487</v>
      </c>
      <c r="G91" s="127" t="s">
        <v>250</v>
      </c>
      <c r="I91" s="48" t="s">
        <v>0</v>
      </c>
      <c r="J91" s="48" t="s">
        <v>0</v>
      </c>
    </row>
    <row r="92" spans="1:10" ht="15.75" thickBot="1">
      <c r="A92" s="123" t="s">
        <v>274</v>
      </c>
      <c r="B92" s="124" t="s">
        <v>273</v>
      </c>
      <c r="C92" s="125">
        <v>13</v>
      </c>
      <c r="D92" s="126">
        <v>132</v>
      </c>
      <c r="E92" s="127" t="s">
        <v>457</v>
      </c>
      <c r="F92" s="124" t="s">
        <v>485</v>
      </c>
      <c r="G92" s="127" t="s">
        <v>264</v>
      </c>
      <c r="I92" s="48" t="s">
        <v>0</v>
      </c>
      <c r="J92" s="48" t="s">
        <v>0</v>
      </c>
    </row>
    <row r="93" spans="1:10" ht="15.75" thickBot="1">
      <c r="A93" s="123" t="s">
        <v>272</v>
      </c>
      <c r="B93" s="124" t="s">
        <v>261</v>
      </c>
      <c r="C93" s="125">
        <v>13</v>
      </c>
      <c r="D93" s="126">
        <v>143</v>
      </c>
      <c r="E93" s="127" t="s">
        <v>458</v>
      </c>
      <c r="F93" s="124" t="s">
        <v>486</v>
      </c>
      <c r="G93" s="127" t="s">
        <v>260</v>
      </c>
      <c r="I93" s="48" t="s">
        <v>0</v>
      </c>
      <c r="J93" s="48" t="s">
        <v>0</v>
      </c>
    </row>
    <row r="94" spans="1:10" ht="15.75" thickBot="1">
      <c r="A94" s="123" t="s">
        <v>271</v>
      </c>
      <c r="B94" s="124" t="s">
        <v>270</v>
      </c>
      <c r="C94" s="125">
        <v>11</v>
      </c>
      <c r="D94" s="126">
        <v>133</v>
      </c>
      <c r="E94" s="127" t="s">
        <v>457</v>
      </c>
      <c r="F94" s="124" t="s">
        <v>487</v>
      </c>
      <c r="G94" s="127" t="s">
        <v>264</v>
      </c>
      <c r="I94" s="48" t="s">
        <v>0</v>
      </c>
      <c r="J94" s="48" t="s">
        <v>0</v>
      </c>
    </row>
    <row r="95" spans="1:10" ht="15.75" thickBot="1">
      <c r="A95" s="123" t="s">
        <v>269</v>
      </c>
      <c r="B95" s="124" t="s">
        <v>268</v>
      </c>
      <c r="C95" s="125">
        <v>12</v>
      </c>
      <c r="D95" s="126">
        <v>135</v>
      </c>
      <c r="E95" s="127" t="s">
        <v>457</v>
      </c>
      <c r="F95" s="124" t="s">
        <v>487</v>
      </c>
      <c r="G95" s="127" t="s">
        <v>264</v>
      </c>
      <c r="I95" s="48" t="s">
        <v>0</v>
      </c>
      <c r="J95" s="48" t="s">
        <v>0</v>
      </c>
    </row>
    <row r="96" spans="1:10" ht="15.75" thickBot="1">
      <c r="A96" s="123" t="s">
        <v>267</v>
      </c>
      <c r="B96" s="124" t="s">
        <v>495</v>
      </c>
      <c r="C96" s="125">
        <v>14</v>
      </c>
      <c r="D96" s="126">
        <v>137</v>
      </c>
      <c r="E96" s="127" t="s">
        <v>458</v>
      </c>
      <c r="F96" s="124" t="s">
        <v>487</v>
      </c>
      <c r="G96" s="127" t="s">
        <v>264</v>
      </c>
      <c r="I96" s="48" t="s">
        <v>0</v>
      </c>
      <c r="J96" s="48" t="s">
        <v>0</v>
      </c>
    </row>
    <row r="97" spans="1:10" ht="15.75" thickBot="1">
      <c r="A97" s="123" t="s">
        <v>266</v>
      </c>
      <c r="B97" s="124" t="s">
        <v>265</v>
      </c>
      <c r="C97" s="125">
        <v>12</v>
      </c>
      <c r="D97" s="126">
        <v>134</v>
      </c>
      <c r="E97" s="127" t="s">
        <v>457</v>
      </c>
      <c r="F97" s="124" t="s">
        <v>485</v>
      </c>
      <c r="G97" s="127" t="s">
        <v>264</v>
      </c>
      <c r="I97" s="48" t="s">
        <v>0</v>
      </c>
      <c r="J97" s="48" t="s">
        <v>0</v>
      </c>
    </row>
    <row r="98" spans="1:10" ht="15.75" thickBot="1">
      <c r="A98" s="123" t="s">
        <v>263</v>
      </c>
      <c r="B98" s="124" t="s">
        <v>498</v>
      </c>
      <c r="C98" s="125">
        <v>12</v>
      </c>
      <c r="D98" s="126">
        <v>136</v>
      </c>
      <c r="E98" s="127" t="s">
        <v>458</v>
      </c>
      <c r="F98" s="124" t="s">
        <v>485</v>
      </c>
      <c r="G98" s="127" t="s">
        <v>250</v>
      </c>
      <c r="I98" s="48" t="s">
        <v>0</v>
      </c>
      <c r="J98" s="48" t="s">
        <v>0</v>
      </c>
    </row>
    <row r="99" spans="1:10" ht="15.75" thickBot="1">
      <c r="A99" s="123" t="s">
        <v>262</v>
      </c>
      <c r="B99" s="124" t="s">
        <v>261</v>
      </c>
      <c r="C99" s="125">
        <v>10</v>
      </c>
      <c r="D99" s="126">
        <v>132</v>
      </c>
      <c r="E99" s="127" t="s">
        <v>458</v>
      </c>
      <c r="F99" s="124" t="s">
        <v>486</v>
      </c>
      <c r="G99" s="127" t="s">
        <v>260</v>
      </c>
      <c r="I99" s="48" t="s">
        <v>0</v>
      </c>
      <c r="J99" s="48" t="s">
        <v>0</v>
      </c>
    </row>
    <row r="100" spans="1:10" ht="15.75" thickBot="1">
      <c r="A100" s="123" t="s">
        <v>258</v>
      </c>
      <c r="B100" s="124" t="s">
        <v>259</v>
      </c>
      <c r="C100" s="125">
        <v>12</v>
      </c>
      <c r="D100" s="126">
        <v>136</v>
      </c>
      <c r="E100" s="127" t="s">
        <v>458</v>
      </c>
      <c r="F100" s="124" t="s">
        <v>485</v>
      </c>
      <c r="G100" s="127" t="s">
        <v>256</v>
      </c>
      <c r="I100" s="48" t="s">
        <v>0</v>
      </c>
      <c r="J100" s="48" t="s">
        <v>0</v>
      </c>
    </row>
    <row r="101" spans="1:10" ht="15.75" thickBot="1">
      <c r="A101" s="123" t="s">
        <v>258</v>
      </c>
      <c r="B101" s="124" t="s">
        <v>257</v>
      </c>
      <c r="C101" s="125">
        <v>12</v>
      </c>
      <c r="D101" s="126">
        <v>142</v>
      </c>
      <c r="E101" s="127" t="s">
        <v>458</v>
      </c>
      <c r="F101" s="124" t="s">
        <v>487</v>
      </c>
      <c r="G101" s="127" t="s">
        <v>256</v>
      </c>
      <c r="I101" s="48" t="s">
        <v>0</v>
      </c>
      <c r="J101" s="48" t="s">
        <v>0</v>
      </c>
    </row>
    <row r="102" spans="1:10" ht="15.75" thickBot="1">
      <c r="A102" s="123" t="s">
        <v>255</v>
      </c>
      <c r="B102" s="124" t="s">
        <v>254</v>
      </c>
      <c r="C102" s="125">
        <v>14</v>
      </c>
      <c r="D102" s="126">
        <v>144</v>
      </c>
      <c r="E102" s="127" t="s">
        <v>457</v>
      </c>
      <c r="F102" s="124" t="s">
        <v>487</v>
      </c>
      <c r="G102" s="127" t="s">
        <v>250</v>
      </c>
      <c r="I102" s="48" t="s">
        <v>0</v>
      </c>
      <c r="J102" s="48" t="s">
        <v>0</v>
      </c>
    </row>
    <row r="103" spans="1:10" ht="15.75" thickBot="1">
      <c r="A103" s="123" t="s">
        <v>253</v>
      </c>
      <c r="B103" s="124" t="s">
        <v>252</v>
      </c>
      <c r="C103" s="125">
        <v>11</v>
      </c>
      <c r="D103" s="126">
        <v>127</v>
      </c>
      <c r="E103" s="127" t="s">
        <v>457</v>
      </c>
      <c r="F103" s="124" t="s">
        <v>489</v>
      </c>
      <c r="G103" s="127" t="s">
        <v>250</v>
      </c>
      <c r="I103" s="48" t="s">
        <v>0</v>
      </c>
      <c r="J103" s="48" t="s">
        <v>0</v>
      </c>
    </row>
    <row r="104" spans="1:10" ht="15.75" thickBot="1">
      <c r="A104" s="123" t="s">
        <v>501</v>
      </c>
      <c r="B104" s="124" t="s">
        <v>251</v>
      </c>
      <c r="C104" s="125">
        <v>14</v>
      </c>
      <c r="D104" s="126">
        <v>114</v>
      </c>
      <c r="E104" s="127" t="s">
        <v>458</v>
      </c>
      <c r="F104" s="124" t="s">
        <v>487</v>
      </c>
      <c r="G104" s="127" t="s">
        <v>250</v>
      </c>
      <c r="I104" s="48" t="s">
        <v>0</v>
      </c>
      <c r="J104" s="48" t="s">
        <v>0</v>
      </c>
    </row>
    <row r="105" spans="1:10">
      <c r="I105" s="47"/>
      <c r="J105" s="48"/>
    </row>
    <row r="106" spans="1:10">
      <c r="I106" s="47"/>
      <c r="J106" s="48"/>
    </row>
    <row r="107" spans="1:10">
      <c r="I107" s="47"/>
      <c r="J107" s="48"/>
    </row>
    <row r="108" spans="1:10">
      <c r="I108" s="47"/>
      <c r="J108" s="48"/>
    </row>
    <row r="109" spans="1:10">
      <c r="I109" s="47"/>
      <c r="J109" s="48"/>
    </row>
    <row r="110" spans="1:10">
      <c r="I110" s="47"/>
      <c r="J110" s="48"/>
    </row>
  </sheetData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FF00"/>
  </sheetPr>
  <dimension ref="A1:G213"/>
  <sheetViews>
    <sheetView workbookViewId="0">
      <selection activeCell="I11" sqref="I11"/>
    </sheetView>
  </sheetViews>
  <sheetFormatPr defaultRowHeight="15"/>
  <cols>
    <col min="1" max="1" width="7.42578125" customWidth="1"/>
    <col min="2" max="2" width="16.28515625" bestFit="1" customWidth="1"/>
    <col min="3" max="4" width="7.42578125" customWidth="1"/>
    <col min="5" max="5" width="6.28515625" customWidth="1"/>
    <col min="6" max="6" width="19.42578125" style="3" bestFit="1" customWidth="1"/>
    <col min="7" max="7" width="16.85546875" style="3" customWidth="1"/>
  </cols>
  <sheetData>
    <row r="1" spans="1:7">
      <c r="A1" s="130" t="s">
        <v>1</v>
      </c>
      <c r="B1" s="130" t="s">
        <v>2</v>
      </c>
      <c r="C1" s="128" t="s">
        <v>223</v>
      </c>
      <c r="D1" s="129"/>
      <c r="F1" s="132" t="s">
        <v>480</v>
      </c>
      <c r="G1" s="132" t="s">
        <v>459</v>
      </c>
    </row>
    <row r="2" spans="1:7" s="4" customFormat="1" ht="30">
      <c r="A2" s="131"/>
      <c r="B2" s="131"/>
      <c r="C2" s="44" t="s">
        <v>249</v>
      </c>
      <c r="D2" s="44" t="s">
        <v>248</v>
      </c>
      <c r="E2" s="2"/>
      <c r="F2" s="133"/>
      <c r="G2" s="133"/>
    </row>
    <row r="3" spans="1:7">
      <c r="A3" s="1" t="s">
        <v>56</v>
      </c>
      <c r="B3" s="1" t="s">
        <v>57</v>
      </c>
      <c r="C3" s="45">
        <v>9.1199999999999992</v>
      </c>
      <c r="D3" s="45">
        <v>9.4700000000000006</v>
      </c>
      <c r="F3" s="3" t="s">
        <v>0</v>
      </c>
      <c r="G3" s="3" t="s">
        <v>0</v>
      </c>
    </row>
    <row r="4" spans="1:7">
      <c r="A4" s="1" t="s">
        <v>168</v>
      </c>
      <c r="B4" s="1" t="s">
        <v>169</v>
      </c>
      <c r="C4" s="45">
        <v>7.59</v>
      </c>
      <c r="D4" s="45">
        <v>8.06</v>
      </c>
      <c r="F4" s="3" t="s">
        <v>221</v>
      </c>
      <c r="G4" s="3" t="s">
        <v>0</v>
      </c>
    </row>
    <row r="5" spans="1:7">
      <c r="A5" s="1" t="s">
        <v>85</v>
      </c>
      <c r="B5" s="1" t="s">
        <v>86</v>
      </c>
      <c r="C5" s="45">
        <v>10.29</v>
      </c>
      <c r="D5" s="45">
        <v>9.94</v>
      </c>
      <c r="F5" s="3" t="s">
        <v>221</v>
      </c>
      <c r="G5" s="3" t="s">
        <v>0</v>
      </c>
    </row>
    <row r="6" spans="1:7">
      <c r="A6" s="1" t="s">
        <v>168</v>
      </c>
      <c r="B6" s="1" t="s">
        <v>170</v>
      </c>
      <c r="C6" s="45">
        <v>7.24</v>
      </c>
      <c r="D6" s="45">
        <v>8.18</v>
      </c>
      <c r="F6" s="3" t="s">
        <v>221</v>
      </c>
      <c r="G6" s="3" t="s">
        <v>461</v>
      </c>
    </row>
    <row r="7" spans="1:7">
      <c r="A7" s="1" t="s">
        <v>168</v>
      </c>
      <c r="B7" s="1" t="s">
        <v>171</v>
      </c>
      <c r="C7" s="45">
        <v>0.88</v>
      </c>
      <c r="D7" s="45">
        <v>1.76</v>
      </c>
      <c r="F7" s="3" t="s">
        <v>222</v>
      </c>
      <c r="G7" s="3" t="s">
        <v>0</v>
      </c>
    </row>
    <row r="8" spans="1:7">
      <c r="A8" s="1" t="s">
        <v>85</v>
      </c>
      <c r="B8" s="1" t="s">
        <v>87</v>
      </c>
      <c r="C8" s="45">
        <v>6.47</v>
      </c>
      <c r="D8" s="45">
        <v>6.59</v>
      </c>
      <c r="F8" s="3" t="s">
        <v>222</v>
      </c>
      <c r="G8" s="3" t="s">
        <v>0</v>
      </c>
    </row>
    <row r="9" spans="1:7">
      <c r="A9" s="1" t="s">
        <v>114</v>
      </c>
      <c r="B9" s="1" t="s">
        <v>115</v>
      </c>
      <c r="C9" s="45">
        <v>7.59</v>
      </c>
      <c r="D9" s="45">
        <v>7.65</v>
      </c>
      <c r="F9" s="3" t="s">
        <v>0</v>
      </c>
      <c r="G9" s="3" t="s">
        <v>0</v>
      </c>
    </row>
    <row r="10" spans="1:7">
      <c r="A10" s="1" t="s">
        <v>27</v>
      </c>
      <c r="B10" s="1" t="s">
        <v>28</v>
      </c>
      <c r="C10" s="45"/>
      <c r="D10" s="45">
        <v>7.59</v>
      </c>
      <c r="F10" s="3" t="s">
        <v>0</v>
      </c>
      <c r="G10" s="3" t="s">
        <v>461</v>
      </c>
    </row>
    <row r="11" spans="1:7">
      <c r="A11" s="1" t="s">
        <v>168</v>
      </c>
      <c r="B11" s="1" t="s">
        <v>172</v>
      </c>
      <c r="C11" s="45">
        <v>4.18</v>
      </c>
      <c r="D11" s="45">
        <v>4.24</v>
      </c>
      <c r="F11" s="3" t="s">
        <v>0</v>
      </c>
      <c r="G11" s="3" t="s">
        <v>460</v>
      </c>
    </row>
    <row r="12" spans="1:7">
      <c r="A12" s="1" t="s">
        <v>27</v>
      </c>
      <c r="B12" s="1" t="s">
        <v>29</v>
      </c>
      <c r="C12" s="45">
        <v>6.18</v>
      </c>
      <c r="D12" s="45">
        <v>5.35</v>
      </c>
      <c r="F12" s="3" t="s">
        <v>0</v>
      </c>
      <c r="G12" s="3" t="s">
        <v>460</v>
      </c>
    </row>
    <row r="13" spans="1:7">
      <c r="A13" s="1" t="s">
        <v>168</v>
      </c>
      <c r="B13" s="1" t="s">
        <v>173</v>
      </c>
      <c r="C13" s="45">
        <v>7.47</v>
      </c>
      <c r="D13" s="45">
        <v>7.65</v>
      </c>
      <c r="F13" s="3" t="s">
        <v>0</v>
      </c>
      <c r="G13" s="3" t="s">
        <v>0</v>
      </c>
    </row>
    <row r="14" spans="1:7">
      <c r="A14" s="1" t="s">
        <v>56</v>
      </c>
      <c r="B14" s="1" t="s">
        <v>58</v>
      </c>
      <c r="C14" s="45">
        <v>8.2899999999999991</v>
      </c>
      <c r="D14" s="45">
        <v>8.76</v>
      </c>
      <c r="F14" s="3" t="s">
        <v>0</v>
      </c>
      <c r="G14" s="3" t="s">
        <v>0</v>
      </c>
    </row>
    <row r="15" spans="1:7">
      <c r="A15" s="1" t="s">
        <v>56</v>
      </c>
      <c r="B15" s="1" t="s">
        <v>59</v>
      </c>
      <c r="C15" s="45">
        <v>7.59</v>
      </c>
      <c r="D15" s="45">
        <v>8.06</v>
      </c>
      <c r="F15" s="3" t="s">
        <v>0</v>
      </c>
      <c r="G15" s="3" t="s">
        <v>0</v>
      </c>
    </row>
    <row r="16" spans="1:7">
      <c r="A16" s="1" t="s">
        <v>114</v>
      </c>
      <c r="B16" s="1" t="s">
        <v>116</v>
      </c>
      <c r="C16" s="45">
        <v>5.76</v>
      </c>
      <c r="D16" s="45">
        <v>6.06</v>
      </c>
      <c r="F16" s="3" t="s">
        <v>0</v>
      </c>
      <c r="G16" s="3" t="s">
        <v>0</v>
      </c>
    </row>
    <row r="17" spans="1:7">
      <c r="A17" s="1" t="s">
        <v>27</v>
      </c>
      <c r="B17" s="1" t="s">
        <v>30</v>
      </c>
      <c r="C17" s="45">
        <v>7</v>
      </c>
      <c r="D17" s="45">
        <v>6.12</v>
      </c>
      <c r="F17" s="3" t="s">
        <v>0</v>
      </c>
      <c r="G17" s="3" t="s">
        <v>0</v>
      </c>
    </row>
    <row r="18" spans="1:7">
      <c r="A18" s="1" t="s">
        <v>85</v>
      </c>
      <c r="B18" s="1" t="s">
        <v>88</v>
      </c>
      <c r="C18" s="45">
        <v>10.18</v>
      </c>
      <c r="D18" s="45">
        <v>10.29</v>
      </c>
      <c r="F18" s="3" t="s">
        <v>0</v>
      </c>
      <c r="G18" s="3" t="s">
        <v>0</v>
      </c>
    </row>
    <row r="19" spans="1:7">
      <c r="A19" s="1" t="s">
        <v>168</v>
      </c>
      <c r="B19" s="1" t="s">
        <v>174</v>
      </c>
      <c r="C19" s="45">
        <v>9.4700000000000006</v>
      </c>
      <c r="D19" s="45">
        <v>9.1199999999999992</v>
      </c>
      <c r="F19" s="3" t="s">
        <v>0</v>
      </c>
      <c r="G19" s="3" t="s">
        <v>0</v>
      </c>
    </row>
    <row r="20" spans="1:7">
      <c r="A20" s="1" t="s">
        <v>168</v>
      </c>
      <c r="B20" s="1" t="s">
        <v>175</v>
      </c>
      <c r="C20" s="45">
        <v>7.29</v>
      </c>
      <c r="D20" s="45">
        <v>6.76</v>
      </c>
      <c r="F20" s="3" t="s">
        <v>0</v>
      </c>
      <c r="G20" s="3" t="s">
        <v>0</v>
      </c>
    </row>
    <row r="21" spans="1:7">
      <c r="A21" s="1" t="s">
        <v>27</v>
      </c>
      <c r="B21" s="1" t="s">
        <v>31</v>
      </c>
      <c r="C21" s="45">
        <v>8.24</v>
      </c>
      <c r="D21" s="45">
        <v>8.41</v>
      </c>
      <c r="F21" s="3" t="s">
        <v>0</v>
      </c>
      <c r="G21" s="3" t="s">
        <v>0</v>
      </c>
    </row>
    <row r="22" spans="1:7">
      <c r="A22" s="1" t="s">
        <v>3</v>
      </c>
      <c r="B22" s="1" t="s">
        <v>4</v>
      </c>
      <c r="C22" s="45">
        <v>9.18</v>
      </c>
      <c r="D22" s="45">
        <v>9.65</v>
      </c>
      <c r="F22" s="3" t="s">
        <v>0</v>
      </c>
      <c r="G22" s="3" t="s">
        <v>0</v>
      </c>
    </row>
    <row r="23" spans="1:7">
      <c r="A23" s="1" t="s">
        <v>3</v>
      </c>
      <c r="B23" s="1" t="s">
        <v>5</v>
      </c>
      <c r="C23" s="45">
        <v>6.82</v>
      </c>
      <c r="D23" s="45">
        <v>7.29</v>
      </c>
      <c r="F23" s="3" t="s">
        <v>0</v>
      </c>
      <c r="G23" s="3" t="s">
        <v>0</v>
      </c>
    </row>
    <row r="24" spans="1:7">
      <c r="A24" s="1" t="s">
        <v>85</v>
      </c>
      <c r="B24" s="1" t="s">
        <v>89</v>
      </c>
      <c r="C24" s="45">
        <v>8.7100000000000009</v>
      </c>
      <c r="D24" s="45">
        <v>9.24</v>
      </c>
      <c r="F24" s="3" t="s">
        <v>0</v>
      </c>
      <c r="G24" s="3" t="s">
        <v>0</v>
      </c>
    </row>
    <row r="25" spans="1:7">
      <c r="A25" s="1" t="s">
        <v>143</v>
      </c>
      <c r="B25" s="1" t="s">
        <v>144</v>
      </c>
      <c r="C25" s="45">
        <v>8</v>
      </c>
      <c r="D25" s="45">
        <v>8.41</v>
      </c>
      <c r="F25" s="3" t="s">
        <v>0</v>
      </c>
      <c r="G25" s="3" t="s">
        <v>0</v>
      </c>
    </row>
    <row r="26" spans="1:7">
      <c r="A26" s="1" t="s">
        <v>85</v>
      </c>
      <c r="B26" s="1" t="s">
        <v>90</v>
      </c>
      <c r="C26" s="45">
        <v>6.88</v>
      </c>
      <c r="D26" s="45"/>
      <c r="F26" s="3" t="s">
        <v>0</v>
      </c>
      <c r="G26" s="3" t="s">
        <v>0</v>
      </c>
    </row>
    <row r="27" spans="1:7">
      <c r="A27" s="1" t="s">
        <v>143</v>
      </c>
      <c r="B27" s="1" t="s">
        <v>145</v>
      </c>
      <c r="C27" s="45">
        <v>6.82</v>
      </c>
      <c r="D27" s="45">
        <v>6.88</v>
      </c>
      <c r="F27" s="3" t="s">
        <v>0</v>
      </c>
      <c r="G27" s="3" t="s">
        <v>0</v>
      </c>
    </row>
    <row r="28" spans="1:7">
      <c r="A28" s="1" t="s">
        <v>114</v>
      </c>
      <c r="B28" s="1" t="s">
        <v>117</v>
      </c>
      <c r="C28" s="45">
        <v>7.06</v>
      </c>
      <c r="D28" s="45">
        <v>7.24</v>
      </c>
      <c r="F28" s="3" t="s">
        <v>0</v>
      </c>
      <c r="G28" s="3" t="s">
        <v>0</v>
      </c>
    </row>
    <row r="29" spans="1:7">
      <c r="A29" s="1" t="s">
        <v>168</v>
      </c>
      <c r="B29" s="1" t="s">
        <v>176</v>
      </c>
      <c r="C29" s="45">
        <v>6.12</v>
      </c>
      <c r="D29" s="45">
        <v>5.12</v>
      </c>
      <c r="F29" s="3" t="s">
        <v>0</v>
      </c>
      <c r="G29" s="3" t="s">
        <v>0</v>
      </c>
    </row>
    <row r="30" spans="1:7">
      <c r="A30" s="1" t="s">
        <v>143</v>
      </c>
      <c r="B30" s="1" t="s">
        <v>146</v>
      </c>
      <c r="C30" s="45">
        <v>9.35</v>
      </c>
      <c r="D30" s="45">
        <v>9.5299999999999994</v>
      </c>
      <c r="F30" s="3" t="s">
        <v>0</v>
      </c>
      <c r="G30" s="3" t="s">
        <v>0</v>
      </c>
    </row>
    <row r="31" spans="1:7">
      <c r="A31" s="1" t="s">
        <v>114</v>
      </c>
      <c r="B31" s="1" t="s">
        <v>118</v>
      </c>
      <c r="C31" s="45"/>
      <c r="D31" s="45">
        <v>8.2899999999999991</v>
      </c>
      <c r="F31" s="3" t="s">
        <v>0</v>
      </c>
      <c r="G31" s="3" t="s">
        <v>0</v>
      </c>
    </row>
    <row r="32" spans="1:7">
      <c r="A32" s="1" t="s">
        <v>3</v>
      </c>
      <c r="B32" s="1" t="s">
        <v>6</v>
      </c>
      <c r="C32" s="45">
        <v>5.6</v>
      </c>
      <c r="D32" s="45">
        <v>5.73</v>
      </c>
      <c r="F32" s="3" t="s">
        <v>0</v>
      </c>
      <c r="G32" s="3" t="s">
        <v>0</v>
      </c>
    </row>
    <row r="33" spans="1:7">
      <c r="A33" s="1" t="s">
        <v>3</v>
      </c>
      <c r="B33" s="1" t="s">
        <v>6</v>
      </c>
      <c r="C33" s="45">
        <v>8.7100000000000009</v>
      </c>
      <c r="D33" s="45">
        <v>9.35</v>
      </c>
      <c r="F33" s="3" t="s">
        <v>0</v>
      </c>
      <c r="G33" s="3" t="s">
        <v>0</v>
      </c>
    </row>
    <row r="34" spans="1:7">
      <c r="A34" s="1" t="s">
        <v>56</v>
      </c>
      <c r="B34" s="1" t="s">
        <v>60</v>
      </c>
      <c r="C34" s="45">
        <v>9.5299999999999994</v>
      </c>
      <c r="D34" s="45">
        <v>9.82</v>
      </c>
      <c r="F34" s="3" t="s">
        <v>0</v>
      </c>
      <c r="G34" s="3" t="s">
        <v>0</v>
      </c>
    </row>
    <row r="35" spans="1:7">
      <c r="A35" s="1" t="s">
        <v>56</v>
      </c>
      <c r="B35" s="1" t="s">
        <v>61</v>
      </c>
      <c r="C35" s="45">
        <v>8.1199999999999992</v>
      </c>
      <c r="D35" s="45">
        <v>8.7100000000000009</v>
      </c>
      <c r="F35" s="3" t="s">
        <v>0</v>
      </c>
      <c r="G35" s="3" t="s">
        <v>0</v>
      </c>
    </row>
    <row r="36" spans="1:7">
      <c r="A36" s="1" t="s">
        <v>56</v>
      </c>
      <c r="B36" s="1" t="s">
        <v>62</v>
      </c>
      <c r="C36" s="45">
        <v>8</v>
      </c>
      <c r="D36" s="45">
        <v>8.8800000000000008</v>
      </c>
      <c r="F36" s="3" t="s">
        <v>0</v>
      </c>
      <c r="G36" s="3" t="s">
        <v>0</v>
      </c>
    </row>
    <row r="37" spans="1:7">
      <c r="A37" s="1" t="s">
        <v>56</v>
      </c>
      <c r="B37" s="1" t="s">
        <v>63</v>
      </c>
      <c r="C37" s="45">
        <v>6.71</v>
      </c>
      <c r="D37" s="45">
        <v>7.18</v>
      </c>
      <c r="F37" s="3" t="s">
        <v>0</v>
      </c>
      <c r="G37" s="3" t="s">
        <v>0</v>
      </c>
    </row>
    <row r="38" spans="1:7">
      <c r="A38" s="1" t="s">
        <v>27</v>
      </c>
      <c r="B38" s="1" t="s">
        <v>32</v>
      </c>
      <c r="C38" s="45">
        <v>7.82</v>
      </c>
      <c r="D38" s="45">
        <v>7.59</v>
      </c>
      <c r="F38" s="3" t="s">
        <v>0</v>
      </c>
      <c r="G38" s="3" t="s">
        <v>0</v>
      </c>
    </row>
    <row r="39" spans="1:7">
      <c r="A39" s="1" t="s">
        <v>3</v>
      </c>
      <c r="B39" s="1" t="s">
        <v>7</v>
      </c>
      <c r="C39" s="45">
        <v>6.35</v>
      </c>
      <c r="D39" s="45">
        <v>7.06</v>
      </c>
      <c r="F39" s="3" t="s">
        <v>0</v>
      </c>
      <c r="G39" s="3" t="s">
        <v>0</v>
      </c>
    </row>
    <row r="40" spans="1:7">
      <c r="A40" s="1" t="s">
        <v>197</v>
      </c>
      <c r="B40" s="1" t="s">
        <v>198</v>
      </c>
      <c r="C40" s="45">
        <v>4.6500000000000004</v>
      </c>
      <c r="D40" s="45">
        <v>4.53</v>
      </c>
      <c r="F40" s="3" t="s">
        <v>0</v>
      </c>
      <c r="G40" s="3" t="s">
        <v>0</v>
      </c>
    </row>
    <row r="41" spans="1:7">
      <c r="A41" s="1" t="s">
        <v>85</v>
      </c>
      <c r="B41" s="1" t="s">
        <v>91</v>
      </c>
      <c r="C41" s="45">
        <v>5.76</v>
      </c>
      <c r="D41" s="45">
        <v>5.88</v>
      </c>
      <c r="F41" s="3" t="s">
        <v>0</v>
      </c>
      <c r="G41" s="3" t="s">
        <v>0</v>
      </c>
    </row>
    <row r="42" spans="1:7">
      <c r="A42" s="1" t="s">
        <v>85</v>
      </c>
      <c r="B42" s="1" t="s">
        <v>92</v>
      </c>
      <c r="C42" s="45">
        <v>8.2899999999999991</v>
      </c>
      <c r="D42" s="45">
        <v>8.65</v>
      </c>
      <c r="F42" s="3" t="s">
        <v>0</v>
      </c>
      <c r="G42" s="3" t="s">
        <v>0</v>
      </c>
    </row>
    <row r="43" spans="1:7">
      <c r="A43" s="1" t="s">
        <v>197</v>
      </c>
      <c r="B43" s="1" t="s">
        <v>199</v>
      </c>
      <c r="C43" s="45">
        <v>6</v>
      </c>
      <c r="D43" s="45">
        <v>6.29</v>
      </c>
      <c r="F43" s="3" t="s">
        <v>0</v>
      </c>
      <c r="G43" s="3" t="s">
        <v>0</v>
      </c>
    </row>
    <row r="44" spans="1:7">
      <c r="A44" s="1" t="s">
        <v>114</v>
      </c>
      <c r="B44" s="1" t="s">
        <v>119</v>
      </c>
      <c r="C44" s="45">
        <v>9.7100000000000009</v>
      </c>
      <c r="D44" s="45">
        <v>9.35</v>
      </c>
      <c r="F44" s="3" t="s">
        <v>0</v>
      </c>
      <c r="G44" s="3" t="s">
        <v>0</v>
      </c>
    </row>
    <row r="45" spans="1:7">
      <c r="A45" s="1" t="s">
        <v>197</v>
      </c>
      <c r="B45" s="1" t="s">
        <v>200</v>
      </c>
      <c r="C45" s="45">
        <v>10.59</v>
      </c>
      <c r="D45" s="45">
        <v>10.59</v>
      </c>
      <c r="F45" s="3" t="s">
        <v>0</v>
      </c>
      <c r="G45" s="3" t="s">
        <v>0</v>
      </c>
    </row>
    <row r="46" spans="1:7">
      <c r="A46" s="1" t="s">
        <v>143</v>
      </c>
      <c r="B46" s="1" t="s">
        <v>147</v>
      </c>
      <c r="C46" s="45">
        <v>8.4700000000000006</v>
      </c>
      <c r="D46" s="45">
        <v>8.76</v>
      </c>
      <c r="F46" s="3" t="s">
        <v>0</v>
      </c>
      <c r="G46" s="3" t="s">
        <v>0</v>
      </c>
    </row>
    <row r="47" spans="1:7">
      <c r="A47" s="1" t="s">
        <v>3</v>
      </c>
      <c r="B47" s="1" t="s">
        <v>8</v>
      </c>
      <c r="C47" s="45"/>
      <c r="D47" s="45">
        <v>7.41</v>
      </c>
      <c r="F47" s="3" t="s">
        <v>0</v>
      </c>
      <c r="G47" s="3" t="s">
        <v>0</v>
      </c>
    </row>
    <row r="48" spans="1:7">
      <c r="A48" s="1" t="s">
        <v>56</v>
      </c>
      <c r="B48" s="1" t="s">
        <v>64</v>
      </c>
      <c r="C48" s="45">
        <v>6.18</v>
      </c>
      <c r="D48" s="45">
        <v>6.88</v>
      </c>
      <c r="F48" s="3" t="s">
        <v>0</v>
      </c>
      <c r="G48" s="3" t="s">
        <v>0</v>
      </c>
    </row>
    <row r="49" spans="1:7">
      <c r="A49" s="1" t="s">
        <v>197</v>
      </c>
      <c r="B49" s="1" t="s">
        <v>201</v>
      </c>
      <c r="C49" s="45">
        <v>5.24</v>
      </c>
      <c r="D49" s="45">
        <v>4.59</v>
      </c>
      <c r="F49" s="3" t="s">
        <v>0</v>
      </c>
      <c r="G49" s="3" t="s">
        <v>0</v>
      </c>
    </row>
    <row r="50" spans="1:7">
      <c r="A50" s="1" t="s">
        <v>3</v>
      </c>
      <c r="B50" s="1" t="s">
        <v>9</v>
      </c>
      <c r="C50" s="45">
        <v>7.65</v>
      </c>
      <c r="D50" s="45">
        <v>7.82</v>
      </c>
      <c r="F50" s="3" t="s">
        <v>0</v>
      </c>
      <c r="G50" s="3" t="s">
        <v>0</v>
      </c>
    </row>
    <row r="51" spans="1:7">
      <c r="A51" s="1" t="s">
        <v>114</v>
      </c>
      <c r="B51" s="1" t="s">
        <v>120</v>
      </c>
      <c r="C51" s="45">
        <v>8.65</v>
      </c>
      <c r="D51" s="45">
        <v>8.65</v>
      </c>
      <c r="F51" s="3" t="s">
        <v>0</v>
      </c>
      <c r="G51" s="3" t="s">
        <v>0</v>
      </c>
    </row>
    <row r="52" spans="1:7">
      <c r="A52" s="1" t="s">
        <v>168</v>
      </c>
      <c r="B52" s="1" t="s">
        <v>177</v>
      </c>
      <c r="C52" s="45"/>
      <c r="D52" s="45">
        <v>8.06</v>
      </c>
      <c r="F52" s="3" t="s">
        <v>0</v>
      </c>
      <c r="G52" s="3" t="s">
        <v>0</v>
      </c>
    </row>
    <row r="53" spans="1:7">
      <c r="A53" s="1" t="s">
        <v>114</v>
      </c>
      <c r="B53" s="1" t="s">
        <v>121</v>
      </c>
      <c r="C53" s="45"/>
      <c r="D53" s="45">
        <v>10.88</v>
      </c>
      <c r="F53" s="3" t="s">
        <v>0</v>
      </c>
      <c r="G53" s="3" t="s">
        <v>0</v>
      </c>
    </row>
    <row r="54" spans="1:7">
      <c r="A54" s="1" t="s">
        <v>143</v>
      </c>
      <c r="B54" s="1" t="s">
        <v>148</v>
      </c>
      <c r="C54" s="45">
        <v>9.8800000000000008</v>
      </c>
      <c r="D54" s="45">
        <v>10</v>
      </c>
      <c r="F54" s="3" t="s">
        <v>0</v>
      </c>
      <c r="G54" s="3" t="s">
        <v>0</v>
      </c>
    </row>
    <row r="55" spans="1:7">
      <c r="A55" s="1" t="s">
        <v>85</v>
      </c>
      <c r="B55" s="1" t="s">
        <v>93</v>
      </c>
      <c r="C55" s="45">
        <v>6.18</v>
      </c>
      <c r="D55" s="45">
        <v>5.88</v>
      </c>
      <c r="F55" s="3" t="s">
        <v>0</v>
      </c>
      <c r="G55" s="3" t="s">
        <v>0</v>
      </c>
    </row>
    <row r="56" spans="1:7">
      <c r="A56" s="1" t="s">
        <v>168</v>
      </c>
      <c r="B56" s="1" t="s">
        <v>178</v>
      </c>
      <c r="C56" s="45"/>
      <c r="D56" s="45">
        <v>7.41</v>
      </c>
      <c r="F56" s="3" t="s">
        <v>0</v>
      </c>
      <c r="G56" s="3" t="s">
        <v>0</v>
      </c>
    </row>
    <row r="57" spans="1:7">
      <c r="A57" s="1" t="s">
        <v>85</v>
      </c>
      <c r="B57" s="1" t="s">
        <v>94</v>
      </c>
      <c r="C57" s="45">
        <v>9.1199999999999992</v>
      </c>
      <c r="D57" s="45">
        <v>9.1199999999999992</v>
      </c>
      <c r="F57" s="3" t="s">
        <v>0</v>
      </c>
      <c r="G57" s="3" t="s">
        <v>0</v>
      </c>
    </row>
    <row r="58" spans="1:7">
      <c r="A58" s="1" t="s">
        <v>114</v>
      </c>
      <c r="B58" s="1" t="s">
        <v>122</v>
      </c>
      <c r="C58" s="45">
        <v>8.06</v>
      </c>
      <c r="D58" s="45">
        <v>8.4700000000000006</v>
      </c>
      <c r="F58" s="3" t="s">
        <v>0</v>
      </c>
      <c r="G58" s="3" t="s">
        <v>0</v>
      </c>
    </row>
    <row r="59" spans="1:7">
      <c r="A59" s="1" t="s">
        <v>56</v>
      </c>
      <c r="B59" s="1" t="s">
        <v>65</v>
      </c>
      <c r="C59" s="45"/>
      <c r="D59" s="45">
        <v>8.7100000000000009</v>
      </c>
      <c r="F59" s="3" t="s">
        <v>0</v>
      </c>
      <c r="G59" s="3" t="s">
        <v>0</v>
      </c>
    </row>
    <row r="60" spans="1:7">
      <c r="A60" s="1" t="s">
        <v>3</v>
      </c>
      <c r="B60" s="1" t="s">
        <v>10</v>
      </c>
      <c r="C60" s="45">
        <v>8.94</v>
      </c>
      <c r="D60" s="45">
        <v>9.35</v>
      </c>
      <c r="F60" s="3" t="s">
        <v>0</v>
      </c>
      <c r="G60" s="3" t="s">
        <v>0</v>
      </c>
    </row>
    <row r="61" spans="1:7">
      <c r="A61" s="1" t="s">
        <v>56</v>
      </c>
      <c r="B61" s="1" t="s">
        <v>66</v>
      </c>
      <c r="C61" s="45">
        <v>7.47</v>
      </c>
      <c r="D61" s="45">
        <v>7.65</v>
      </c>
      <c r="F61" s="3" t="s">
        <v>0</v>
      </c>
      <c r="G61" s="3" t="s">
        <v>0</v>
      </c>
    </row>
    <row r="62" spans="1:7">
      <c r="A62" s="1" t="s">
        <v>168</v>
      </c>
      <c r="B62" s="1" t="s">
        <v>179</v>
      </c>
      <c r="C62" s="45">
        <v>7.35</v>
      </c>
      <c r="D62" s="45">
        <v>7.94</v>
      </c>
      <c r="F62" s="3" t="s">
        <v>0</v>
      </c>
      <c r="G62" s="3" t="s">
        <v>0</v>
      </c>
    </row>
    <row r="63" spans="1:7">
      <c r="A63" s="1" t="s">
        <v>3</v>
      </c>
      <c r="B63" s="1" t="s">
        <v>11</v>
      </c>
      <c r="C63" s="45"/>
      <c r="D63" s="45">
        <v>8.82</v>
      </c>
      <c r="F63" s="3" t="s">
        <v>0</v>
      </c>
      <c r="G63" s="3" t="s">
        <v>0</v>
      </c>
    </row>
    <row r="64" spans="1:7">
      <c r="A64" s="1" t="s">
        <v>27</v>
      </c>
      <c r="B64" s="1" t="s">
        <v>33</v>
      </c>
      <c r="C64" s="45">
        <v>9.41</v>
      </c>
      <c r="D64" s="45">
        <v>9.59</v>
      </c>
      <c r="F64" s="3" t="s">
        <v>0</v>
      </c>
      <c r="G64" s="3" t="s">
        <v>0</v>
      </c>
    </row>
    <row r="65" spans="1:7">
      <c r="A65" s="1" t="s">
        <v>85</v>
      </c>
      <c r="B65" s="1" t="s">
        <v>95</v>
      </c>
      <c r="C65" s="45">
        <v>8.8800000000000008</v>
      </c>
      <c r="D65" s="45">
        <v>9.35</v>
      </c>
      <c r="F65" s="3" t="s">
        <v>0</v>
      </c>
      <c r="G65" s="3" t="s">
        <v>0</v>
      </c>
    </row>
    <row r="66" spans="1:7">
      <c r="A66" s="1" t="s">
        <v>85</v>
      </c>
      <c r="B66" s="1" t="s">
        <v>96</v>
      </c>
      <c r="C66" s="45">
        <v>5.82</v>
      </c>
      <c r="D66" s="45">
        <v>5.94</v>
      </c>
      <c r="F66" s="3" t="s">
        <v>0</v>
      </c>
      <c r="G66" s="3" t="s">
        <v>0</v>
      </c>
    </row>
    <row r="67" spans="1:7">
      <c r="A67" s="1" t="s">
        <v>3</v>
      </c>
      <c r="B67" s="1" t="s">
        <v>12</v>
      </c>
      <c r="C67" s="45">
        <v>6.29</v>
      </c>
      <c r="D67" s="45">
        <v>7.18</v>
      </c>
      <c r="F67" s="3" t="s">
        <v>0</v>
      </c>
      <c r="G67" s="3" t="s">
        <v>0</v>
      </c>
    </row>
    <row r="68" spans="1:7">
      <c r="A68" s="1" t="s">
        <v>168</v>
      </c>
      <c r="B68" s="1" t="s">
        <v>180</v>
      </c>
      <c r="C68" s="45">
        <v>8.24</v>
      </c>
      <c r="D68" s="45">
        <v>8.82</v>
      </c>
      <c r="F68" s="3" t="s">
        <v>0</v>
      </c>
      <c r="G68" s="3" t="s">
        <v>0</v>
      </c>
    </row>
    <row r="69" spans="1:7">
      <c r="A69" s="1" t="s">
        <v>56</v>
      </c>
      <c r="B69" s="1" t="s">
        <v>67</v>
      </c>
      <c r="C69" s="45">
        <v>8.76</v>
      </c>
      <c r="D69" s="45"/>
      <c r="F69" s="3" t="s">
        <v>0</v>
      </c>
      <c r="G69" s="3" t="s">
        <v>0</v>
      </c>
    </row>
    <row r="70" spans="1:7">
      <c r="A70" s="1" t="s">
        <v>3</v>
      </c>
      <c r="B70" s="1" t="s">
        <v>13</v>
      </c>
      <c r="C70" s="45">
        <v>6.59</v>
      </c>
      <c r="D70" s="45">
        <v>6.53</v>
      </c>
      <c r="F70" s="3" t="s">
        <v>0</v>
      </c>
      <c r="G70" s="3" t="s">
        <v>0</v>
      </c>
    </row>
    <row r="71" spans="1:7">
      <c r="A71" s="1" t="s">
        <v>56</v>
      </c>
      <c r="B71" s="1" t="s">
        <v>68</v>
      </c>
      <c r="C71" s="45">
        <v>4.76</v>
      </c>
      <c r="D71" s="45">
        <v>5.76</v>
      </c>
      <c r="F71" s="3" t="s">
        <v>0</v>
      </c>
      <c r="G71" s="3" t="s">
        <v>0</v>
      </c>
    </row>
    <row r="72" spans="1:7">
      <c r="A72" s="1" t="s">
        <v>197</v>
      </c>
      <c r="B72" s="1" t="s">
        <v>202</v>
      </c>
      <c r="C72" s="45">
        <v>10.35</v>
      </c>
      <c r="D72" s="45">
        <v>10.53</v>
      </c>
      <c r="F72" s="3" t="s">
        <v>0</v>
      </c>
      <c r="G72" s="3" t="s">
        <v>0</v>
      </c>
    </row>
    <row r="73" spans="1:7">
      <c r="A73" s="1" t="s">
        <v>168</v>
      </c>
      <c r="B73" s="1" t="s">
        <v>181</v>
      </c>
      <c r="C73" s="45">
        <v>9.7100000000000009</v>
      </c>
      <c r="D73" s="45">
        <v>9.82</v>
      </c>
      <c r="F73" s="3" t="s">
        <v>0</v>
      </c>
      <c r="G73" s="3" t="s">
        <v>0</v>
      </c>
    </row>
    <row r="74" spans="1:7">
      <c r="A74" s="1" t="s">
        <v>197</v>
      </c>
      <c r="B74" s="1" t="s">
        <v>203</v>
      </c>
      <c r="C74" s="45"/>
      <c r="D74" s="45">
        <v>5.47</v>
      </c>
      <c r="F74" s="3" t="s">
        <v>0</v>
      </c>
      <c r="G74" s="3" t="s">
        <v>0</v>
      </c>
    </row>
    <row r="75" spans="1:7">
      <c r="A75" s="1" t="s">
        <v>114</v>
      </c>
      <c r="B75" s="1" t="s">
        <v>123</v>
      </c>
      <c r="C75" s="45">
        <v>8.4700000000000006</v>
      </c>
      <c r="D75" s="45">
        <v>8.65</v>
      </c>
      <c r="F75" s="3" t="s">
        <v>0</v>
      </c>
      <c r="G75" s="3" t="s">
        <v>0</v>
      </c>
    </row>
    <row r="76" spans="1:7">
      <c r="A76" s="1" t="s">
        <v>168</v>
      </c>
      <c r="B76" s="1" t="s">
        <v>182</v>
      </c>
      <c r="C76" s="45">
        <v>9.24</v>
      </c>
      <c r="D76" s="45">
        <v>9.24</v>
      </c>
      <c r="F76" s="3" t="s">
        <v>0</v>
      </c>
      <c r="G76" s="3" t="s">
        <v>0</v>
      </c>
    </row>
    <row r="77" spans="1:7">
      <c r="A77" s="1" t="s">
        <v>143</v>
      </c>
      <c r="B77" s="1" t="s">
        <v>149</v>
      </c>
      <c r="C77" s="45">
        <v>6.06</v>
      </c>
      <c r="D77" s="45">
        <v>6.12</v>
      </c>
      <c r="F77" s="3" t="s">
        <v>0</v>
      </c>
      <c r="G77" s="3" t="s">
        <v>0</v>
      </c>
    </row>
    <row r="78" spans="1:7">
      <c r="A78" s="1" t="s">
        <v>27</v>
      </c>
      <c r="B78" s="1" t="s">
        <v>34</v>
      </c>
      <c r="C78" s="45">
        <v>8</v>
      </c>
      <c r="D78" s="45">
        <v>7.88</v>
      </c>
      <c r="F78" s="3" t="s">
        <v>0</v>
      </c>
      <c r="G78" s="3" t="s">
        <v>0</v>
      </c>
    </row>
    <row r="79" spans="1:7">
      <c r="A79" s="1" t="s">
        <v>114</v>
      </c>
      <c r="B79" s="1" t="s">
        <v>124</v>
      </c>
      <c r="C79" s="45"/>
      <c r="D79" s="45">
        <v>8.24</v>
      </c>
      <c r="F79" s="3" t="s">
        <v>0</v>
      </c>
      <c r="G79" s="3" t="s">
        <v>0</v>
      </c>
    </row>
    <row r="80" spans="1:7">
      <c r="A80" s="1" t="s">
        <v>114</v>
      </c>
      <c r="B80" s="1" t="s">
        <v>125</v>
      </c>
      <c r="C80" s="45">
        <v>7.71</v>
      </c>
      <c r="D80" s="45">
        <v>7.71</v>
      </c>
      <c r="F80" s="3" t="s">
        <v>0</v>
      </c>
      <c r="G80" s="3" t="s">
        <v>0</v>
      </c>
    </row>
    <row r="81" spans="1:7">
      <c r="A81" s="1" t="s">
        <v>56</v>
      </c>
      <c r="B81" s="1" t="s">
        <v>69</v>
      </c>
      <c r="C81" s="45">
        <v>6.12</v>
      </c>
      <c r="D81" s="45">
        <v>5.71</v>
      </c>
      <c r="F81" s="3" t="s">
        <v>0</v>
      </c>
      <c r="G81" s="3" t="s">
        <v>0</v>
      </c>
    </row>
    <row r="82" spans="1:7">
      <c r="A82" s="1" t="s">
        <v>56</v>
      </c>
      <c r="B82" s="1" t="s">
        <v>70</v>
      </c>
      <c r="C82" s="45">
        <v>5</v>
      </c>
      <c r="D82" s="45">
        <v>5.18</v>
      </c>
      <c r="F82" s="3" t="s">
        <v>0</v>
      </c>
      <c r="G82" s="3" t="s">
        <v>0</v>
      </c>
    </row>
    <row r="83" spans="1:7">
      <c r="A83" s="1" t="s">
        <v>85</v>
      </c>
      <c r="B83" s="1" t="s">
        <v>97</v>
      </c>
      <c r="C83" s="45">
        <v>7.94</v>
      </c>
      <c r="D83" s="45">
        <v>8.7100000000000009</v>
      </c>
      <c r="F83" s="3" t="s">
        <v>0</v>
      </c>
      <c r="G83" s="3" t="s">
        <v>0</v>
      </c>
    </row>
    <row r="84" spans="1:7">
      <c r="A84" s="1" t="s">
        <v>143</v>
      </c>
      <c r="B84" s="1" t="s">
        <v>150</v>
      </c>
      <c r="C84" s="45">
        <v>5.53</v>
      </c>
      <c r="D84" s="45">
        <v>6.06</v>
      </c>
      <c r="F84" s="3" t="s">
        <v>0</v>
      </c>
      <c r="G84" s="3" t="s">
        <v>0</v>
      </c>
    </row>
    <row r="85" spans="1:7">
      <c r="A85" s="1" t="s">
        <v>85</v>
      </c>
      <c r="B85" s="1" t="s">
        <v>98</v>
      </c>
      <c r="C85" s="45">
        <v>10.59</v>
      </c>
      <c r="D85" s="45">
        <v>10.71</v>
      </c>
      <c r="F85" s="3" t="s">
        <v>0</v>
      </c>
      <c r="G85" s="3" t="s">
        <v>0</v>
      </c>
    </row>
    <row r="86" spans="1:7">
      <c r="A86" s="1" t="s">
        <v>168</v>
      </c>
      <c r="B86" s="1" t="s">
        <v>98</v>
      </c>
      <c r="C86" s="45">
        <v>6.24</v>
      </c>
      <c r="D86" s="45">
        <v>6</v>
      </c>
      <c r="F86" s="3" t="s">
        <v>0</v>
      </c>
      <c r="G86" s="3" t="s">
        <v>0</v>
      </c>
    </row>
    <row r="87" spans="1:7">
      <c r="A87" s="1" t="s">
        <v>143</v>
      </c>
      <c r="B87" s="1" t="s">
        <v>151</v>
      </c>
      <c r="C87" s="45">
        <v>8.18</v>
      </c>
      <c r="D87" s="45">
        <v>8.65</v>
      </c>
      <c r="F87" s="3" t="s">
        <v>0</v>
      </c>
      <c r="G87" s="3" t="s">
        <v>0</v>
      </c>
    </row>
    <row r="88" spans="1:7">
      <c r="A88" s="1" t="s">
        <v>114</v>
      </c>
      <c r="B88" s="1" t="s">
        <v>126</v>
      </c>
      <c r="C88" s="45">
        <v>7.53</v>
      </c>
      <c r="D88" s="45">
        <v>7.53</v>
      </c>
      <c r="F88" s="3" t="s">
        <v>0</v>
      </c>
      <c r="G88" s="3" t="s">
        <v>0</v>
      </c>
    </row>
    <row r="89" spans="1:7">
      <c r="A89" s="1" t="s">
        <v>85</v>
      </c>
      <c r="B89" s="1" t="s">
        <v>99</v>
      </c>
      <c r="C89" s="45">
        <v>9.8800000000000008</v>
      </c>
      <c r="D89" s="45">
        <v>10</v>
      </c>
      <c r="F89" s="3" t="s">
        <v>0</v>
      </c>
      <c r="G89" s="3" t="s">
        <v>0</v>
      </c>
    </row>
    <row r="90" spans="1:7">
      <c r="A90" s="1" t="s">
        <v>114</v>
      </c>
      <c r="B90" s="1" t="s">
        <v>127</v>
      </c>
      <c r="C90" s="45">
        <v>9</v>
      </c>
      <c r="D90" s="45">
        <v>8.65</v>
      </c>
      <c r="F90" s="3" t="s">
        <v>0</v>
      </c>
      <c r="G90" s="3" t="s">
        <v>0</v>
      </c>
    </row>
    <row r="91" spans="1:7">
      <c r="A91" s="1" t="s">
        <v>114</v>
      </c>
      <c r="B91" s="1" t="s">
        <v>128</v>
      </c>
      <c r="C91" s="45">
        <v>5.41</v>
      </c>
      <c r="D91" s="45">
        <v>5.41</v>
      </c>
      <c r="F91" s="3" t="s">
        <v>0</v>
      </c>
      <c r="G91" s="3" t="s">
        <v>0</v>
      </c>
    </row>
    <row r="92" spans="1:7">
      <c r="A92" s="1" t="s">
        <v>197</v>
      </c>
      <c r="B92" s="1" t="s">
        <v>204</v>
      </c>
      <c r="C92" s="45">
        <v>8.4700000000000006</v>
      </c>
      <c r="D92" s="45"/>
      <c r="F92" s="3" t="s">
        <v>0</v>
      </c>
      <c r="G92" s="3" t="s">
        <v>0</v>
      </c>
    </row>
    <row r="93" spans="1:7">
      <c r="A93" s="1" t="s">
        <v>85</v>
      </c>
      <c r="B93" s="1" t="s">
        <v>100</v>
      </c>
      <c r="C93" s="45">
        <v>10.06</v>
      </c>
      <c r="D93" s="45">
        <v>10.59</v>
      </c>
      <c r="F93" s="3" t="s">
        <v>0</v>
      </c>
      <c r="G93" s="3" t="s">
        <v>0</v>
      </c>
    </row>
    <row r="94" spans="1:7">
      <c r="A94" s="1" t="s">
        <v>3</v>
      </c>
      <c r="B94" s="1" t="s">
        <v>14</v>
      </c>
      <c r="C94" s="45">
        <v>5.76</v>
      </c>
      <c r="D94" s="45">
        <v>5.94</v>
      </c>
      <c r="F94" s="3" t="s">
        <v>0</v>
      </c>
      <c r="G94" s="3" t="s">
        <v>0</v>
      </c>
    </row>
    <row r="95" spans="1:7">
      <c r="A95" s="1" t="s">
        <v>56</v>
      </c>
      <c r="B95" s="1" t="s">
        <v>71</v>
      </c>
      <c r="C95" s="45">
        <v>4.59</v>
      </c>
      <c r="D95" s="45">
        <v>4.59</v>
      </c>
      <c r="F95" s="3" t="s">
        <v>0</v>
      </c>
      <c r="G95" s="3" t="s">
        <v>0</v>
      </c>
    </row>
    <row r="96" spans="1:7">
      <c r="A96" s="1" t="s">
        <v>197</v>
      </c>
      <c r="B96" s="1" t="s">
        <v>205</v>
      </c>
      <c r="C96" s="45">
        <v>2.71</v>
      </c>
      <c r="D96" s="45"/>
      <c r="F96" s="3" t="s">
        <v>0</v>
      </c>
      <c r="G96" s="3" t="s">
        <v>0</v>
      </c>
    </row>
    <row r="97" spans="1:7">
      <c r="A97" s="1" t="s">
        <v>197</v>
      </c>
      <c r="B97" s="1" t="s">
        <v>206</v>
      </c>
      <c r="C97" s="45">
        <v>4.82</v>
      </c>
      <c r="D97" s="45">
        <v>3.94</v>
      </c>
      <c r="F97" s="3" t="s">
        <v>0</v>
      </c>
      <c r="G97" s="3" t="s">
        <v>0</v>
      </c>
    </row>
    <row r="98" spans="1:7">
      <c r="A98" s="1" t="s">
        <v>168</v>
      </c>
      <c r="B98" s="1" t="s">
        <v>183</v>
      </c>
      <c r="C98" s="45">
        <v>6.59</v>
      </c>
      <c r="D98" s="45">
        <v>6.59</v>
      </c>
      <c r="F98" s="3" t="s">
        <v>0</v>
      </c>
      <c r="G98" s="3" t="s">
        <v>0</v>
      </c>
    </row>
    <row r="99" spans="1:7">
      <c r="A99" s="1" t="s">
        <v>27</v>
      </c>
      <c r="B99" s="1" t="s">
        <v>35</v>
      </c>
      <c r="C99" s="45">
        <v>10.65</v>
      </c>
      <c r="D99" s="45">
        <v>10.94</v>
      </c>
      <c r="F99" s="3" t="s">
        <v>0</v>
      </c>
      <c r="G99" s="3" t="s">
        <v>0</v>
      </c>
    </row>
    <row r="100" spans="1:7">
      <c r="A100" s="1" t="s">
        <v>3</v>
      </c>
      <c r="B100" s="1" t="s">
        <v>15</v>
      </c>
      <c r="C100" s="45">
        <v>5.29</v>
      </c>
      <c r="D100" s="45"/>
      <c r="F100" s="3" t="s">
        <v>0</v>
      </c>
      <c r="G100" s="3" t="s">
        <v>0</v>
      </c>
    </row>
    <row r="101" spans="1:7">
      <c r="A101" s="1" t="s">
        <v>197</v>
      </c>
      <c r="B101" s="1" t="s">
        <v>207</v>
      </c>
      <c r="C101" s="45">
        <v>8.7100000000000009</v>
      </c>
      <c r="D101" s="45"/>
      <c r="F101" s="3" t="s">
        <v>0</v>
      </c>
      <c r="G101" s="3" t="s">
        <v>0</v>
      </c>
    </row>
    <row r="102" spans="1:7">
      <c r="A102" s="1" t="s">
        <v>3</v>
      </c>
      <c r="B102" s="1" t="s">
        <v>16</v>
      </c>
      <c r="C102" s="45">
        <v>10.19</v>
      </c>
      <c r="D102" s="45">
        <v>10.38</v>
      </c>
      <c r="F102" s="3" t="s">
        <v>0</v>
      </c>
      <c r="G102" s="3" t="s">
        <v>0</v>
      </c>
    </row>
    <row r="103" spans="1:7">
      <c r="A103" s="1" t="s">
        <v>27</v>
      </c>
      <c r="B103" s="1" t="s">
        <v>36</v>
      </c>
      <c r="C103" s="45">
        <v>8.06</v>
      </c>
      <c r="D103" s="45">
        <v>7.12</v>
      </c>
      <c r="F103" s="3" t="s">
        <v>0</v>
      </c>
      <c r="G103" s="3" t="s">
        <v>0</v>
      </c>
    </row>
    <row r="104" spans="1:7">
      <c r="A104" s="1" t="s">
        <v>56</v>
      </c>
      <c r="B104" s="1" t="s">
        <v>72</v>
      </c>
      <c r="C104" s="45">
        <v>3.88</v>
      </c>
      <c r="D104" s="45">
        <v>4.29</v>
      </c>
      <c r="F104" s="3" t="s">
        <v>0</v>
      </c>
      <c r="G104" s="3" t="s">
        <v>0</v>
      </c>
    </row>
    <row r="105" spans="1:7">
      <c r="A105" s="1" t="s">
        <v>27</v>
      </c>
      <c r="B105" s="1" t="s">
        <v>37</v>
      </c>
      <c r="C105" s="45">
        <v>9.65</v>
      </c>
      <c r="D105" s="45">
        <v>10.18</v>
      </c>
      <c r="F105" s="3" t="s">
        <v>0</v>
      </c>
      <c r="G105" s="3" t="s">
        <v>0</v>
      </c>
    </row>
    <row r="106" spans="1:7">
      <c r="A106" s="1" t="s">
        <v>114</v>
      </c>
      <c r="B106" s="1" t="s">
        <v>129</v>
      </c>
      <c r="C106" s="45">
        <v>9.2899999999999991</v>
      </c>
      <c r="D106" s="45">
        <v>8.4700000000000006</v>
      </c>
      <c r="F106" s="3" t="s">
        <v>0</v>
      </c>
      <c r="G106" s="3" t="s">
        <v>0</v>
      </c>
    </row>
    <row r="107" spans="1:7">
      <c r="A107" s="1" t="s">
        <v>168</v>
      </c>
      <c r="B107" s="1" t="s">
        <v>184</v>
      </c>
      <c r="C107" s="45">
        <v>5.29</v>
      </c>
      <c r="D107" s="45">
        <v>5.12</v>
      </c>
      <c r="F107" s="3" t="s">
        <v>0</v>
      </c>
      <c r="G107" s="3" t="s">
        <v>0</v>
      </c>
    </row>
    <row r="108" spans="1:7">
      <c r="A108" s="1" t="s">
        <v>197</v>
      </c>
      <c r="B108" s="1" t="s">
        <v>208</v>
      </c>
      <c r="C108" s="45">
        <v>6.35</v>
      </c>
      <c r="D108" s="45">
        <v>6.76</v>
      </c>
      <c r="F108" s="3" t="s">
        <v>0</v>
      </c>
      <c r="G108" s="3" t="s">
        <v>0</v>
      </c>
    </row>
    <row r="109" spans="1:7">
      <c r="A109" s="1" t="s">
        <v>197</v>
      </c>
      <c r="B109" s="1" t="s">
        <v>209</v>
      </c>
      <c r="C109" s="45">
        <v>6.94</v>
      </c>
      <c r="D109" s="45">
        <v>6.24</v>
      </c>
      <c r="F109" s="3" t="s">
        <v>0</v>
      </c>
      <c r="G109" s="3" t="s">
        <v>0</v>
      </c>
    </row>
    <row r="110" spans="1:7">
      <c r="A110" s="1" t="s">
        <v>197</v>
      </c>
      <c r="B110" s="1" t="s">
        <v>210</v>
      </c>
      <c r="C110" s="45">
        <v>5.59</v>
      </c>
      <c r="D110" s="45">
        <v>5.35</v>
      </c>
      <c r="F110" s="3" t="s">
        <v>0</v>
      </c>
      <c r="G110" s="3" t="s">
        <v>0</v>
      </c>
    </row>
    <row r="111" spans="1:7">
      <c r="A111" s="1" t="s">
        <v>197</v>
      </c>
      <c r="B111" s="1" t="s">
        <v>211</v>
      </c>
      <c r="C111" s="45">
        <v>8.94</v>
      </c>
      <c r="D111" s="45">
        <v>8.41</v>
      </c>
      <c r="F111" s="3" t="s">
        <v>0</v>
      </c>
      <c r="G111" s="3" t="s">
        <v>0</v>
      </c>
    </row>
    <row r="112" spans="1:7">
      <c r="A112" s="1" t="s">
        <v>168</v>
      </c>
      <c r="B112" s="1" t="s">
        <v>185</v>
      </c>
      <c r="C112" s="45">
        <v>4.3499999999999996</v>
      </c>
      <c r="D112" s="45">
        <v>3.94</v>
      </c>
      <c r="F112" s="3" t="s">
        <v>0</v>
      </c>
      <c r="G112" s="3" t="s">
        <v>0</v>
      </c>
    </row>
    <row r="113" spans="1:7">
      <c r="A113" s="1" t="s">
        <v>27</v>
      </c>
      <c r="B113" s="1" t="s">
        <v>38</v>
      </c>
      <c r="C113" s="45">
        <v>6.71</v>
      </c>
      <c r="D113" s="45">
        <v>5.76</v>
      </c>
      <c r="F113" s="3" t="s">
        <v>0</v>
      </c>
      <c r="G113" s="3" t="s">
        <v>0</v>
      </c>
    </row>
    <row r="114" spans="1:7">
      <c r="A114" s="1" t="s">
        <v>3</v>
      </c>
      <c r="B114" s="1" t="s">
        <v>17</v>
      </c>
      <c r="C114" s="45">
        <v>6.88</v>
      </c>
      <c r="D114" s="45"/>
      <c r="F114" s="3" t="s">
        <v>0</v>
      </c>
      <c r="G114" s="3" t="s">
        <v>0</v>
      </c>
    </row>
    <row r="115" spans="1:7">
      <c r="A115" s="1" t="s">
        <v>85</v>
      </c>
      <c r="B115" s="1" t="s">
        <v>101</v>
      </c>
      <c r="C115" s="45">
        <v>5.24</v>
      </c>
      <c r="D115" s="45">
        <v>4.82</v>
      </c>
      <c r="F115" s="3" t="s">
        <v>0</v>
      </c>
      <c r="G115" s="3" t="s">
        <v>0</v>
      </c>
    </row>
    <row r="116" spans="1:7">
      <c r="A116" s="1" t="s">
        <v>85</v>
      </c>
      <c r="B116" s="1" t="s">
        <v>102</v>
      </c>
      <c r="C116" s="45">
        <v>6.81</v>
      </c>
      <c r="D116" s="45">
        <v>6.5</v>
      </c>
      <c r="F116" s="3" t="s">
        <v>0</v>
      </c>
      <c r="G116" s="3" t="s">
        <v>0</v>
      </c>
    </row>
    <row r="117" spans="1:7">
      <c r="A117" s="1" t="s">
        <v>27</v>
      </c>
      <c r="B117" s="1" t="s">
        <v>39</v>
      </c>
      <c r="C117" s="45">
        <v>5.76</v>
      </c>
      <c r="D117" s="45">
        <v>5.53</v>
      </c>
      <c r="F117" s="3" t="s">
        <v>0</v>
      </c>
      <c r="G117" s="3" t="s">
        <v>0</v>
      </c>
    </row>
    <row r="118" spans="1:7">
      <c r="A118" s="1" t="s">
        <v>56</v>
      </c>
      <c r="B118" s="1" t="s">
        <v>73</v>
      </c>
      <c r="C118" s="45">
        <v>3.41</v>
      </c>
      <c r="D118" s="45">
        <v>3.12</v>
      </c>
      <c r="F118" s="3" t="s">
        <v>0</v>
      </c>
      <c r="G118" s="3" t="s">
        <v>0</v>
      </c>
    </row>
    <row r="119" spans="1:7">
      <c r="A119" s="1" t="s">
        <v>114</v>
      </c>
      <c r="B119" s="1" t="s">
        <v>130</v>
      </c>
      <c r="C119" s="45">
        <v>4.29</v>
      </c>
      <c r="D119" s="45">
        <v>4.47</v>
      </c>
      <c r="F119" s="3" t="s">
        <v>0</v>
      </c>
      <c r="G119" s="3" t="s">
        <v>0</v>
      </c>
    </row>
    <row r="120" spans="1:7">
      <c r="A120" s="1" t="s">
        <v>27</v>
      </c>
      <c r="B120" s="1" t="s">
        <v>40</v>
      </c>
      <c r="C120" s="45">
        <v>5.12</v>
      </c>
      <c r="D120" s="45">
        <v>5.29</v>
      </c>
      <c r="F120" s="3" t="s">
        <v>0</v>
      </c>
      <c r="G120" s="3" t="s">
        <v>0</v>
      </c>
    </row>
    <row r="121" spans="1:7">
      <c r="A121" s="1" t="s">
        <v>197</v>
      </c>
      <c r="B121" s="1" t="s">
        <v>212</v>
      </c>
      <c r="C121" s="45">
        <v>8.94</v>
      </c>
      <c r="D121" s="45">
        <v>8.76</v>
      </c>
      <c r="F121" s="3" t="s">
        <v>0</v>
      </c>
      <c r="G121" s="3" t="s">
        <v>0</v>
      </c>
    </row>
    <row r="122" spans="1:7">
      <c r="A122" s="1" t="s">
        <v>27</v>
      </c>
      <c r="B122" s="1" t="s">
        <v>41</v>
      </c>
      <c r="C122" s="45">
        <v>7.29</v>
      </c>
      <c r="D122" s="45">
        <v>7</v>
      </c>
      <c r="F122" s="3" t="s">
        <v>0</v>
      </c>
      <c r="G122" s="3" t="s">
        <v>0</v>
      </c>
    </row>
    <row r="123" spans="1:7">
      <c r="A123" s="1" t="s">
        <v>143</v>
      </c>
      <c r="B123" s="1" t="s">
        <v>152</v>
      </c>
      <c r="C123" s="45">
        <v>4.29</v>
      </c>
      <c r="D123" s="45">
        <v>4.88</v>
      </c>
      <c r="F123" s="3" t="s">
        <v>0</v>
      </c>
      <c r="G123" s="3" t="s">
        <v>0</v>
      </c>
    </row>
    <row r="124" spans="1:7">
      <c r="A124" s="1" t="s">
        <v>114</v>
      </c>
      <c r="B124" s="1" t="s">
        <v>131</v>
      </c>
      <c r="C124" s="45">
        <v>6.47</v>
      </c>
      <c r="D124" s="45">
        <v>5.35</v>
      </c>
      <c r="F124" s="3" t="s">
        <v>0</v>
      </c>
      <c r="G124" s="3" t="s">
        <v>0</v>
      </c>
    </row>
    <row r="125" spans="1:7">
      <c r="A125" s="1" t="s">
        <v>114</v>
      </c>
      <c r="B125" s="1" t="s">
        <v>132</v>
      </c>
      <c r="C125" s="45">
        <v>5</v>
      </c>
      <c r="D125" s="45">
        <v>4.9400000000000004</v>
      </c>
      <c r="F125" s="3" t="s">
        <v>0</v>
      </c>
      <c r="G125" s="3" t="s">
        <v>0</v>
      </c>
    </row>
    <row r="126" spans="1:7">
      <c r="A126" s="1" t="s">
        <v>114</v>
      </c>
      <c r="B126" s="1" t="s">
        <v>133</v>
      </c>
      <c r="C126" s="45">
        <v>9.94</v>
      </c>
      <c r="D126" s="45">
        <v>9.76</v>
      </c>
      <c r="F126" s="3" t="s">
        <v>0</v>
      </c>
      <c r="G126" s="3" t="s">
        <v>0</v>
      </c>
    </row>
    <row r="127" spans="1:7">
      <c r="A127" s="1" t="s">
        <v>168</v>
      </c>
      <c r="B127" s="1" t="s">
        <v>186</v>
      </c>
      <c r="C127" s="45">
        <v>5.0599999999999996</v>
      </c>
      <c r="D127" s="45">
        <v>4.47</v>
      </c>
      <c r="F127" s="3" t="s">
        <v>0</v>
      </c>
      <c r="G127" s="3" t="s">
        <v>0</v>
      </c>
    </row>
    <row r="128" spans="1:7">
      <c r="A128" s="1" t="s">
        <v>85</v>
      </c>
      <c r="B128" s="1" t="s">
        <v>103</v>
      </c>
      <c r="C128" s="45">
        <v>5.65</v>
      </c>
      <c r="D128" s="45">
        <v>5.53</v>
      </c>
      <c r="F128" s="3" t="s">
        <v>0</v>
      </c>
      <c r="G128" s="3" t="s">
        <v>0</v>
      </c>
    </row>
    <row r="129" spans="1:7">
      <c r="A129" s="1" t="s">
        <v>143</v>
      </c>
      <c r="B129" s="1" t="s">
        <v>153</v>
      </c>
      <c r="C129" s="45">
        <v>4.41</v>
      </c>
      <c r="D129" s="45">
        <v>5.18</v>
      </c>
      <c r="F129" s="3" t="s">
        <v>0</v>
      </c>
      <c r="G129" s="3" t="s">
        <v>0</v>
      </c>
    </row>
    <row r="130" spans="1:7">
      <c r="A130" s="1" t="s">
        <v>197</v>
      </c>
      <c r="B130" s="1" t="s">
        <v>213</v>
      </c>
      <c r="C130" s="45">
        <v>7.88</v>
      </c>
      <c r="D130" s="45">
        <v>7.56</v>
      </c>
      <c r="F130" s="3" t="s">
        <v>0</v>
      </c>
      <c r="G130" s="3" t="s">
        <v>0</v>
      </c>
    </row>
    <row r="131" spans="1:7">
      <c r="A131" s="1" t="s">
        <v>3</v>
      </c>
      <c r="B131" s="1" t="s">
        <v>18</v>
      </c>
      <c r="C131" s="45">
        <v>5.24</v>
      </c>
      <c r="D131" s="45">
        <v>5.94</v>
      </c>
      <c r="F131" s="3" t="s">
        <v>0</v>
      </c>
      <c r="G131" s="3" t="s">
        <v>0</v>
      </c>
    </row>
    <row r="132" spans="1:7">
      <c r="A132" s="1" t="s">
        <v>3</v>
      </c>
      <c r="B132" s="1" t="s">
        <v>19</v>
      </c>
      <c r="C132" s="45">
        <v>7.06</v>
      </c>
      <c r="D132" s="45">
        <v>6.24</v>
      </c>
      <c r="F132" s="3" t="s">
        <v>0</v>
      </c>
      <c r="G132" s="3" t="s">
        <v>0</v>
      </c>
    </row>
    <row r="133" spans="1:7">
      <c r="A133" s="1" t="s">
        <v>3</v>
      </c>
      <c r="B133" s="1" t="s">
        <v>20</v>
      </c>
      <c r="C133" s="45">
        <v>6.94</v>
      </c>
      <c r="D133" s="45">
        <v>7.35</v>
      </c>
      <c r="F133" s="3" t="s">
        <v>0</v>
      </c>
      <c r="G133" s="3" t="s">
        <v>0</v>
      </c>
    </row>
    <row r="134" spans="1:7">
      <c r="A134" s="1" t="s">
        <v>56</v>
      </c>
      <c r="B134" s="1" t="s">
        <v>74</v>
      </c>
      <c r="C134" s="45">
        <v>7.29</v>
      </c>
      <c r="D134" s="45">
        <v>8.2899999999999991</v>
      </c>
      <c r="F134" s="3" t="s">
        <v>0</v>
      </c>
      <c r="G134" s="3" t="s">
        <v>0</v>
      </c>
    </row>
    <row r="135" spans="1:7">
      <c r="A135" s="1" t="s">
        <v>56</v>
      </c>
      <c r="B135" s="1" t="s">
        <v>75</v>
      </c>
      <c r="C135" s="45">
        <v>8.59</v>
      </c>
      <c r="D135" s="45">
        <v>9.06</v>
      </c>
      <c r="F135" s="3" t="s">
        <v>0</v>
      </c>
      <c r="G135" s="3" t="s">
        <v>0</v>
      </c>
    </row>
    <row r="136" spans="1:7">
      <c r="A136" s="1" t="s">
        <v>197</v>
      </c>
      <c r="B136" s="1" t="s">
        <v>214</v>
      </c>
      <c r="C136" s="45"/>
      <c r="D136" s="45"/>
      <c r="F136" s="3" t="s">
        <v>0</v>
      </c>
      <c r="G136" s="3" t="s">
        <v>0</v>
      </c>
    </row>
    <row r="137" spans="1:7">
      <c r="A137" s="1" t="s">
        <v>143</v>
      </c>
      <c r="B137" s="1" t="s">
        <v>154</v>
      </c>
      <c r="C137" s="45"/>
      <c r="D137" s="45">
        <v>7.35</v>
      </c>
      <c r="F137" s="3" t="s">
        <v>0</v>
      </c>
      <c r="G137" s="3" t="s">
        <v>0</v>
      </c>
    </row>
    <row r="138" spans="1:7">
      <c r="A138" s="1" t="s">
        <v>143</v>
      </c>
      <c r="B138" s="1" t="s">
        <v>155</v>
      </c>
      <c r="C138" s="45">
        <v>7.35</v>
      </c>
      <c r="D138" s="45">
        <v>7.94</v>
      </c>
      <c r="F138" s="3" t="s">
        <v>0</v>
      </c>
      <c r="G138" s="3" t="s">
        <v>0</v>
      </c>
    </row>
    <row r="139" spans="1:7">
      <c r="A139" s="1" t="s">
        <v>27</v>
      </c>
      <c r="B139" s="1" t="s">
        <v>42</v>
      </c>
      <c r="C139" s="45">
        <v>5.0599999999999996</v>
      </c>
      <c r="D139" s="45">
        <v>4.88</v>
      </c>
      <c r="F139" s="3" t="s">
        <v>0</v>
      </c>
      <c r="G139" s="3" t="s">
        <v>0</v>
      </c>
    </row>
    <row r="140" spans="1:7">
      <c r="A140" s="1" t="s">
        <v>168</v>
      </c>
      <c r="B140" s="1" t="s">
        <v>187</v>
      </c>
      <c r="C140" s="45">
        <v>6.71</v>
      </c>
      <c r="D140" s="45">
        <v>6.18</v>
      </c>
      <c r="F140" s="3" t="s">
        <v>0</v>
      </c>
      <c r="G140" s="3" t="s">
        <v>0</v>
      </c>
    </row>
    <row r="141" spans="1:7">
      <c r="A141" s="1" t="s">
        <v>27</v>
      </c>
      <c r="B141" s="1" t="s">
        <v>43</v>
      </c>
      <c r="C141" s="45">
        <v>7.47</v>
      </c>
      <c r="D141" s="45">
        <v>8.76</v>
      </c>
      <c r="F141" s="3" t="s">
        <v>0</v>
      </c>
      <c r="G141" s="3" t="s">
        <v>0</v>
      </c>
    </row>
    <row r="142" spans="1:7">
      <c r="A142" s="1" t="s">
        <v>143</v>
      </c>
      <c r="B142" s="1" t="s">
        <v>156</v>
      </c>
      <c r="C142" s="45">
        <v>6.65</v>
      </c>
      <c r="D142" s="45">
        <v>7.06</v>
      </c>
      <c r="F142" s="3" t="s">
        <v>0</v>
      </c>
      <c r="G142" s="3" t="s">
        <v>0</v>
      </c>
    </row>
    <row r="143" spans="1:7">
      <c r="A143" s="1" t="s">
        <v>27</v>
      </c>
      <c r="B143" s="1" t="s">
        <v>44</v>
      </c>
      <c r="C143" s="45">
        <v>7.65</v>
      </c>
      <c r="D143" s="45">
        <v>6.82</v>
      </c>
      <c r="F143" s="3" t="s">
        <v>0</v>
      </c>
      <c r="G143" s="3" t="s">
        <v>0</v>
      </c>
    </row>
    <row r="144" spans="1:7">
      <c r="A144" s="1" t="s">
        <v>56</v>
      </c>
      <c r="B144" s="1" t="s">
        <v>76</v>
      </c>
      <c r="C144" s="45">
        <v>6.18</v>
      </c>
      <c r="D144" s="45">
        <v>6.47</v>
      </c>
      <c r="F144" s="3" t="s">
        <v>0</v>
      </c>
      <c r="G144" s="3" t="s">
        <v>0</v>
      </c>
    </row>
    <row r="145" spans="1:7">
      <c r="A145" s="1" t="s">
        <v>56</v>
      </c>
      <c r="B145" s="1" t="s">
        <v>77</v>
      </c>
      <c r="C145" s="45">
        <v>4.12</v>
      </c>
      <c r="D145" s="45">
        <v>5.12</v>
      </c>
      <c r="F145" s="3" t="s">
        <v>0</v>
      </c>
      <c r="G145" s="3" t="s">
        <v>0</v>
      </c>
    </row>
    <row r="146" spans="1:7">
      <c r="A146" s="1" t="s">
        <v>85</v>
      </c>
      <c r="B146" s="1" t="s">
        <v>104</v>
      </c>
      <c r="C146" s="45">
        <v>5.76</v>
      </c>
      <c r="D146" s="45">
        <v>5.71</v>
      </c>
      <c r="F146" s="3" t="s">
        <v>0</v>
      </c>
      <c r="G146" s="3" t="s">
        <v>0</v>
      </c>
    </row>
    <row r="147" spans="1:7">
      <c r="A147" s="1" t="s">
        <v>168</v>
      </c>
      <c r="B147" s="1" t="s">
        <v>188</v>
      </c>
      <c r="C147" s="45">
        <v>9.59</v>
      </c>
      <c r="D147" s="45">
        <v>9.76</v>
      </c>
      <c r="F147" s="3" t="s">
        <v>0</v>
      </c>
      <c r="G147" s="3" t="s">
        <v>0</v>
      </c>
    </row>
    <row r="148" spans="1:7">
      <c r="A148" s="1" t="s">
        <v>3</v>
      </c>
      <c r="B148" s="1" t="s">
        <v>21</v>
      </c>
      <c r="C148" s="45">
        <v>4.76</v>
      </c>
      <c r="D148" s="45">
        <v>5.41</v>
      </c>
      <c r="F148" s="3" t="s">
        <v>0</v>
      </c>
      <c r="G148" s="3" t="s">
        <v>0</v>
      </c>
    </row>
    <row r="149" spans="1:7">
      <c r="A149" s="1" t="s">
        <v>114</v>
      </c>
      <c r="B149" s="1" t="s">
        <v>134</v>
      </c>
      <c r="C149" s="45">
        <v>8</v>
      </c>
      <c r="D149" s="45">
        <v>7.82</v>
      </c>
      <c r="F149" s="3" t="s">
        <v>0</v>
      </c>
      <c r="G149" s="3" t="s">
        <v>0</v>
      </c>
    </row>
    <row r="150" spans="1:7">
      <c r="A150" s="1" t="s">
        <v>114</v>
      </c>
      <c r="B150" s="1" t="s">
        <v>135</v>
      </c>
      <c r="C150" s="45">
        <v>7.31</v>
      </c>
      <c r="D150" s="45">
        <v>6.94</v>
      </c>
      <c r="F150" s="3" t="s">
        <v>0</v>
      </c>
      <c r="G150" s="3" t="s">
        <v>0</v>
      </c>
    </row>
    <row r="151" spans="1:7">
      <c r="A151" s="1" t="s">
        <v>85</v>
      </c>
      <c r="B151" s="1" t="s">
        <v>105</v>
      </c>
      <c r="C151" s="45">
        <v>8.82</v>
      </c>
      <c r="D151" s="45">
        <v>9.4700000000000006</v>
      </c>
      <c r="F151" s="3" t="s">
        <v>0</v>
      </c>
      <c r="G151" s="3" t="s">
        <v>0</v>
      </c>
    </row>
    <row r="152" spans="1:7">
      <c r="A152" s="1" t="s">
        <v>114</v>
      </c>
      <c r="B152" s="1" t="s">
        <v>136</v>
      </c>
      <c r="C152" s="45">
        <v>6.12</v>
      </c>
      <c r="D152" s="45"/>
      <c r="F152" s="3" t="s">
        <v>0</v>
      </c>
      <c r="G152" s="3" t="s">
        <v>0</v>
      </c>
    </row>
    <row r="153" spans="1:7">
      <c r="A153" s="1" t="s">
        <v>27</v>
      </c>
      <c r="B153" s="1" t="s">
        <v>45</v>
      </c>
      <c r="C153" s="45">
        <v>6.41</v>
      </c>
      <c r="D153" s="45">
        <v>6.24</v>
      </c>
      <c r="F153" s="3" t="s">
        <v>0</v>
      </c>
      <c r="G153" s="3" t="s">
        <v>0</v>
      </c>
    </row>
    <row r="154" spans="1:7">
      <c r="A154" s="1" t="s">
        <v>56</v>
      </c>
      <c r="B154" s="1" t="s">
        <v>78</v>
      </c>
      <c r="C154" s="45">
        <v>8.76</v>
      </c>
      <c r="D154" s="45">
        <v>9.24</v>
      </c>
      <c r="F154" s="3" t="s">
        <v>0</v>
      </c>
      <c r="G154" s="3" t="s">
        <v>0</v>
      </c>
    </row>
    <row r="155" spans="1:7">
      <c r="A155" s="1" t="s">
        <v>27</v>
      </c>
      <c r="B155" s="1" t="s">
        <v>46</v>
      </c>
      <c r="C155" s="45"/>
      <c r="D155" s="45">
        <v>7.88</v>
      </c>
      <c r="F155" s="3" t="s">
        <v>0</v>
      </c>
      <c r="G155" s="3" t="s">
        <v>0</v>
      </c>
    </row>
    <row r="156" spans="1:7">
      <c r="A156" s="1" t="s">
        <v>27</v>
      </c>
      <c r="B156" s="1" t="s">
        <v>47</v>
      </c>
      <c r="C156" s="45">
        <v>8.7100000000000009</v>
      </c>
      <c r="D156" s="45">
        <v>8.31</v>
      </c>
      <c r="F156" s="3" t="s">
        <v>0</v>
      </c>
      <c r="G156" s="3" t="s">
        <v>0</v>
      </c>
    </row>
    <row r="157" spans="1:7">
      <c r="A157" s="1" t="s">
        <v>114</v>
      </c>
      <c r="B157" s="1" t="s">
        <v>137</v>
      </c>
      <c r="C157" s="45">
        <v>6.65</v>
      </c>
      <c r="D157" s="45">
        <v>6.94</v>
      </c>
      <c r="F157" s="3" t="s">
        <v>0</v>
      </c>
      <c r="G157" s="3" t="s">
        <v>0</v>
      </c>
    </row>
    <row r="158" spans="1:7">
      <c r="A158" s="1" t="s">
        <v>85</v>
      </c>
      <c r="B158" s="1" t="s">
        <v>106</v>
      </c>
      <c r="C158" s="45">
        <v>6</v>
      </c>
      <c r="D158" s="45">
        <v>6.35</v>
      </c>
      <c r="F158" s="3" t="s">
        <v>0</v>
      </c>
      <c r="G158" s="3" t="s">
        <v>0</v>
      </c>
    </row>
    <row r="159" spans="1:7">
      <c r="A159" s="1" t="s">
        <v>27</v>
      </c>
      <c r="B159" s="1" t="s">
        <v>48</v>
      </c>
      <c r="C159" s="45"/>
      <c r="D159" s="45">
        <v>9.7100000000000009</v>
      </c>
      <c r="F159" s="3" t="s">
        <v>0</v>
      </c>
      <c r="G159" s="3" t="s">
        <v>0</v>
      </c>
    </row>
    <row r="160" spans="1:7">
      <c r="A160" s="1" t="s">
        <v>197</v>
      </c>
      <c r="B160" s="1" t="s">
        <v>215</v>
      </c>
      <c r="C160" s="45">
        <v>10.24</v>
      </c>
      <c r="D160" s="45">
        <v>10.35</v>
      </c>
      <c r="F160" s="3" t="s">
        <v>0</v>
      </c>
      <c r="G160" s="3" t="s">
        <v>0</v>
      </c>
    </row>
    <row r="161" spans="1:7">
      <c r="A161" s="1" t="s">
        <v>56</v>
      </c>
      <c r="B161" s="1" t="s">
        <v>79</v>
      </c>
      <c r="C161" s="45">
        <v>9.7100000000000009</v>
      </c>
      <c r="D161" s="45">
        <v>9.76</v>
      </c>
      <c r="F161" s="3" t="s">
        <v>0</v>
      </c>
      <c r="G161" s="3" t="s">
        <v>0</v>
      </c>
    </row>
    <row r="162" spans="1:7">
      <c r="A162" s="1" t="s">
        <v>168</v>
      </c>
      <c r="B162" s="1" t="s">
        <v>189</v>
      </c>
      <c r="C162" s="45"/>
      <c r="D162" s="45">
        <v>6.29</v>
      </c>
      <c r="F162" s="3" t="s">
        <v>0</v>
      </c>
      <c r="G162" s="3" t="s">
        <v>0</v>
      </c>
    </row>
    <row r="163" spans="1:7">
      <c r="A163" s="1" t="s">
        <v>143</v>
      </c>
      <c r="B163" s="1" t="s">
        <v>157</v>
      </c>
      <c r="C163" s="45">
        <v>9.65</v>
      </c>
      <c r="D163" s="45">
        <v>9.59</v>
      </c>
      <c r="F163" s="3" t="s">
        <v>0</v>
      </c>
      <c r="G163" s="3" t="s">
        <v>0</v>
      </c>
    </row>
    <row r="164" spans="1:7">
      <c r="A164" s="1" t="s">
        <v>27</v>
      </c>
      <c r="B164" s="1" t="s">
        <v>49</v>
      </c>
      <c r="C164" s="45">
        <v>7.18</v>
      </c>
      <c r="D164" s="45">
        <v>7.65</v>
      </c>
      <c r="F164" s="3" t="s">
        <v>0</v>
      </c>
      <c r="G164" s="3" t="s">
        <v>0</v>
      </c>
    </row>
    <row r="165" spans="1:7">
      <c r="A165" s="1" t="s">
        <v>114</v>
      </c>
      <c r="B165" s="1" t="s">
        <v>138</v>
      </c>
      <c r="C165" s="45">
        <v>7.59</v>
      </c>
      <c r="D165" s="45"/>
      <c r="F165" s="3" t="s">
        <v>0</v>
      </c>
      <c r="G165" s="3" t="s">
        <v>0</v>
      </c>
    </row>
    <row r="166" spans="1:7">
      <c r="A166" s="1" t="s">
        <v>85</v>
      </c>
      <c r="B166" s="1" t="s">
        <v>107</v>
      </c>
      <c r="C166" s="45">
        <v>5.82</v>
      </c>
      <c r="D166" s="45">
        <v>6.47</v>
      </c>
      <c r="F166" s="3" t="s">
        <v>0</v>
      </c>
      <c r="G166" s="3" t="s">
        <v>0</v>
      </c>
    </row>
    <row r="167" spans="1:7">
      <c r="A167" s="1" t="s">
        <v>27</v>
      </c>
      <c r="B167" s="1" t="s">
        <v>50</v>
      </c>
      <c r="C167" s="45">
        <v>7</v>
      </c>
      <c r="D167" s="45"/>
      <c r="F167" s="3" t="s">
        <v>0</v>
      </c>
      <c r="G167" s="3" t="s">
        <v>0</v>
      </c>
    </row>
    <row r="168" spans="1:7">
      <c r="A168" s="1" t="s">
        <v>168</v>
      </c>
      <c r="B168" s="1" t="s">
        <v>190</v>
      </c>
      <c r="C168" s="45">
        <v>6.41</v>
      </c>
      <c r="D168" s="45">
        <v>6.12</v>
      </c>
      <c r="F168" s="3" t="s">
        <v>0</v>
      </c>
      <c r="G168" s="3" t="s">
        <v>0</v>
      </c>
    </row>
    <row r="169" spans="1:7">
      <c r="A169" s="1" t="s">
        <v>3</v>
      </c>
      <c r="B169" s="1" t="s">
        <v>22</v>
      </c>
      <c r="C169" s="45">
        <v>6.82</v>
      </c>
      <c r="D169" s="45">
        <v>7.47</v>
      </c>
      <c r="F169" s="3" t="s">
        <v>0</v>
      </c>
      <c r="G169" s="3" t="s">
        <v>0</v>
      </c>
    </row>
    <row r="170" spans="1:7">
      <c r="A170" s="1" t="s">
        <v>143</v>
      </c>
      <c r="B170" s="1" t="s">
        <v>158</v>
      </c>
      <c r="C170" s="45">
        <v>6.82</v>
      </c>
      <c r="D170" s="45">
        <v>6.88</v>
      </c>
      <c r="F170" s="3" t="s">
        <v>0</v>
      </c>
      <c r="G170" s="3" t="s">
        <v>0</v>
      </c>
    </row>
    <row r="171" spans="1:7">
      <c r="A171" s="1" t="s">
        <v>197</v>
      </c>
      <c r="B171" s="1" t="s">
        <v>216</v>
      </c>
      <c r="C171" s="45"/>
      <c r="D171" s="45">
        <v>10.35</v>
      </c>
      <c r="F171" s="3" t="s">
        <v>0</v>
      </c>
      <c r="G171" s="3" t="s">
        <v>0</v>
      </c>
    </row>
    <row r="172" spans="1:7">
      <c r="A172" s="1" t="s">
        <v>168</v>
      </c>
      <c r="B172" s="1" t="s">
        <v>191</v>
      </c>
      <c r="C172" s="45">
        <v>9.8800000000000008</v>
      </c>
      <c r="D172" s="45"/>
      <c r="F172" s="3" t="s">
        <v>0</v>
      </c>
      <c r="G172" s="3" t="s">
        <v>0</v>
      </c>
    </row>
    <row r="173" spans="1:7">
      <c r="A173" s="1" t="s">
        <v>143</v>
      </c>
      <c r="B173" s="1" t="s">
        <v>159</v>
      </c>
      <c r="C173" s="45">
        <v>7.76</v>
      </c>
      <c r="D173" s="45">
        <v>7.71</v>
      </c>
      <c r="F173" s="3" t="s">
        <v>0</v>
      </c>
      <c r="G173" s="3" t="s">
        <v>0</v>
      </c>
    </row>
    <row r="174" spans="1:7">
      <c r="A174" s="1" t="s">
        <v>27</v>
      </c>
      <c r="B174" s="1" t="s">
        <v>51</v>
      </c>
      <c r="C174" s="45">
        <v>6.35</v>
      </c>
      <c r="D174" s="45"/>
      <c r="F174" s="3" t="s">
        <v>0</v>
      </c>
      <c r="G174" s="3" t="s">
        <v>0</v>
      </c>
    </row>
    <row r="175" spans="1:7">
      <c r="A175" s="1" t="s">
        <v>143</v>
      </c>
      <c r="B175" s="1" t="s">
        <v>160</v>
      </c>
      <c r="C175" s="45">
        <v>7.41</v>
      </c>
      <c r="D175" s="45">
        <v>6.12</v>
      </c>
      <c r="F175" s="3" t="s">
        <v>0</v>
      </c>
      <c r="G175" s="3" t="s">
        <v>0</v>
      </c>
    </row>
    <row r="176" spans="1:7">
      <c r="A176" s="1" t="s">
        <v>3</v>
      </c>
      <c r="B176" s="1" t="s">
        <v>23</v>
      </c>
      <c r="C176" s="45">
        <v>8.24</v>
      </c>
      <c r="D176" s="45">
        <v>8.18</v>
      </c>
      <c r="F176" s="3" t="s">
        <v>0</v>
      </c>
      <c r="G176" s="3" t="s">
        <v>0</v>
      </c>
    </row>
    <row r="177" spans="1:7">
      <c r="A177" s="1" t="s">
        <v>85</v>
      </c>
      <c r="B177" s="1" t="s">
        <v>108</v>
      </c>
      <c r="C177" s="45">
        <v>7.18</v>
      </c>
      <c r="D177" s="45">
        <v>7.76</v>
      </c>
      <c r="F177" s="3" t="s">
        <v>0</v>
      </c>
      <c r="G177" s="3" t="s">
        <v>0</v>
      </c>
    </row>
    <row r="178" spans="1:7">
      <c r="A178" s="1" t="s">
        <v>3</v>
      </c>
      <c r="B178" s="1" t="s">
        <v>24</v>
      </c>
      <c r="C178" s="45">
        <v>6.65</v>
      </c>
      <c r="D178" s="45">
        <v>6.59</v>
      </c>
      <c r="F178" s="3" t="s">
        <v>0</v>
      </c>
      <c r="G178" s="3" t="s">
        <v>0</v>
      </c>
    </row>
    <row r="179" spans="1:7">
      <c r="A179" s="1" t="s">
        <v>114</v>
      </c>
      <c r="B179" s="1" t="s">
        <v>139</v>
      </c>
      <c r="C179" s="45">
        <v>8</v>
      </c>
      <c r="D179" s="45">
        <v>8.36</v>
      </c>
      <c r="F179" s="3" t="s">
        <v>0</v>
      </c>
      <c r="G179" s="3" t="s">
        <v>0</v>
      </c>
    </row>
    <row r="180" spans="1:7">
      <c r="A180" s="1" t="s">
        <v>168</v>
      </c>
      <c r="B180" s="1" t="s">
        <v>192</v>
      </c>
      <c r="C180" s="45">
        <v>7.65</v>
      </c>
      <c r="D180" s="45">
        <v>7.47</v>
      </c>
      <c r="F180" s="3" t="s">
        <v>0</v>
      </c>
      <c r="G180" s="3" t="s">
        <v>0</v>
      </c>
    </row>
    <row r="181" spans="1:7">
      <c r="A181" s="1" t="s">
        <v>56</v>
      </c>
      <c r="B181" s="1" t="s">
        <v>80</v>
      </c>
      <c r="C181" s="45">
        <v>8.82</v>
      </c>
      <c r="D181" s="45">
        <v>9</v>
      </c>
      <c r="F181" s="3" t="s">
        <v>0</v>
      </c>
      <c r="G181" s="3" t="s">
        <v>0</v>
      </c>
    </row>
    <row r="182" spans="1:7">
      <c r="A182" s="1" t="s">
        <v>85</v>
      </c>
      <c r="B182" s="1" t="s">
        <v>109</v>
      </c>
      <c r="C182" s="45">
        <v>8.65</v>
      </c>
      <c r="D182" s="45">
        <v>8.76</v>
      </c>
      <c r="F182" s="3" t="s">
        <v>0</v>
      </c>
      <c r="G182" s="3" t="s">
        <v>0</v>
      </c>
    </row>
    <row r="183" spans="1:7">
      <c r="A183" s="1" t="s">
        <v>27</v>
      </c>
      <c r="B183" s="1" t="s">
        <v>52</v>
      </c>
      <c r="C183" s="45"/>
      <c r="D183" s="45">
        <v>4.71</v>
      </c>
      <c r="F183" s="3" t="s">
        <v>0</v>
      </c>
      <c r="G183" s="3" t="s">
        <v>0</v>
      </c>
    </row>
    <row r="184" spans="1:7">
      <c r="A184" s="1" t="s">
        <v>85</v>
      </c>
      <c r="B184" s="1" t="s">
        <v>110</v>
      </c>
      <c r="C184" s="45">
        <v>8.2899999999999991</v>
      </c>
      <c r="D184" s="45">
        <v>8.69</v>
      </c>
      <c r="F184" s="3" t="s">
        <v>0</v>
      </c>
      <c r="G184" s="3" t="s">
        <v>0</v>
      </c>
    </row>
    <row r="185" spans="1:7">
      <c r="A185" s="1" t="s">
        <v>168</v>
      </c>
      <c r="B185" s="1" t="s">
        <v>193</v>
      </c>
      <c r="C185" s="45">
        <v>6.41</v>
      </c>
      <c r="D185" s="45">
        <v>6.59</v>
      </c>
      <c r="F185" s="3" t="s">
        <v>0</v>
      </c>
      <c r="G185" s="3" t="s">
        <v>0</v>
      </c>
    </row>
    <row r="186" spans="1:7">
      <c r="A186" s="1" t="s">
        <v>3</v>
      </c>
      <c r="B186" s="1" t="s">
        <v>25</v>
      </c>
      <c r="C186" s="45">
        <v>5.94</v>
      </c>
      <c r="D186" s="45">
        <v>6.53</v>
      </c>
      <c r="F186" s="3" t="s">
        <v>0</v>
      </c>
      <c r="G186" s="3" t="s">
        <v>0</v>
      </c>
    </row>
    <row r="187" spans="1:7">
      <c r="A187" s="1" t="s">
        <v>168</v>
      </c>
      <c r="B187" s="1" t="s">
        <v>194</v>
      </c>
      <c r="C187" s="45">
        <v>5.82</v>
      </c>
      <c r="D187" s="45">
        <v>5.76</v>
      </c>
      <c r="F187" s="3" t="s">
        <v>0</v>
      </c>
      <c r="G187" s="3" t="s">
        <v>0</v>
      </c>
    </row>
    <row r="188" spans="1:7">
      <c r="A188" s="1" t="s">
        <v>143</v>
      </c>
      <c r="B188" s="1" t="s">
        <v>161</v>
      </c>
      <c r="C188" s="45">
        <v>8.59</v>
      </c>
      <c r="D188" s="45">
        <v>9</v>
      </c>
      <c r="F188" s="3" t="s">
        <v>0</v>
      </c>
      <c r="G188" s="3" t="s">
        <v>0</v>
      </c>
    </row>
    <row r="189" spans="1:7">
      <c r="A189" s="1" t="s">
        <v>56</v>
      </c>
      <c r="B189" s="1" t="s">
        <v>81</v>
      </c>
      <c r="C189" s="45">
        <v>8</v>
      </c>
      <c r="D189" s="45">
        <v>8.24</v>
      </c>
      <c r="F189" s="3" t="s">
        <v>0</v>
      </c>
      <c r="G189" s="3" t="s">
        <v>0</v>
      </c>
    </row>
    <row r="190" spans="1:7">
      <c r="A190" s="1" t="s">
        <v>114</v>
      </c>
      <c r="B190" s="1" t="s">
        <v>140</v>
      </c>
      <c r="C190" s="45">
        <v>10.69</v>
      </c>
      <c r="D190" s="45">
        <v>10.65</v>
      </c>
      <c r="F190" s="3" t="s">
        <v>0</v>
      </c>
      <c r="G190" s="3" t="s">
        <v>0</v>
      </c>
    </row>
    <row r="191" spans="1:7">
      <c r="A191" s="1" t="s">
        <v>85</v>
      </c>
      <c r="B191" s="1" t="s">
        <v>111</v>
      </c>
      <c r="C191" s="45">
        <v>8</v>
      </c>
      <c r="D191" s="45">
        <v>8.06</v>
      </c>
      <c r="F191" s="3" t="s">
        <v>0</v>
      </c>
      <c r="G191" s="3" t="s">
        <v>0</v>
      </c>
    </row>
    <row r="192" spans="1:7">
      <c r="A192" s="1" t="s">
        <v>143</v>
      </c>
      <c r="B192" s="1" t="s">
        <v>162</v>
      </c>
      <c r="C192" s="45">
        <v>6.59</v>
      </c>
      <c r="D192" s="45">
        <v>7.18</v>
      </c>
      <c r="F192" s="3" t="s">
        <v>0</v>
      </c>
      <c r="G192" s="3" t="s">
        <v>0</v>
      </c>
    </row>
    <row r="193" spans="1:7">
      <c r="A193" s="1" t="s">
        <v>143</v>
      </c>
      <c r="B193" s="1" t="s">
        <v>163</v>
      </c>
      <c r="C193" s="45">
        <v>7</v>
      </c>
      <c r="D193" s="45">
        <v>6.12</v>
      </c>
      <c r="F193" s="3" t="s">
        <v>0</v>
      </c>
      <c r="G193" s="3" t="s">
        <v>0</v>
      </c>
    </row>
    <row r="194" spans="1:7">
      <c r="A194" s="1" t="s">
        <v>85</v>
      </c>
      <c r="B194" s="1" t="s">
        <v>112</v>
      </c>
      <c r="C194" s="45">
        <v>9.2899999999999991</v>
      </c>
      <c r="D194" s="45">
        <v>8.94</v>
      </c>
      <c r="F194" s="3" t="s">
        <v>0</v>
      </c>
      <c r="G194" s="3" t="s">
        <v>0</v>
      </c>
    </row>
    <row r="195" spans="1:7">
      <c r="A195" s="1" t="s">
        <v>197</v>
      </c>
      <c r="B195" s="1" t="s">
        <v>217</v>
      </c>
      <c r="C195" s="45">
        <v>8.31</v>
      </c>
      <c r="D195" s="45">
        <v>8.19</v>
      </c>
      <c r="F195" s="3" t="s">
        <v>0</v>
      </c>
      <c r="G195" s="3" t="s">
        <v>0</v>
      </c>
    </row>
    <row r="196" spans="1:7">
      <c r="A196" s="1" t="s">
        <v>114</v>
      </c>
      <c r="B196" s="1" t="s">
        <v>141</v>
      </c>
      <c r="C196" s="45">
        <v>8.94</v>
      </c>
      <c r="D196" s="45">
        <v>9.1199999999999992</v>
      </c>
      <c r="F196" s="3" t="s">
        <v>0</v>
      </c>
      <c r="G196" s="3" t="s">
        <v>0</v>
      </c>
    </row>
    <row r="197" spans="1:7">
      <c r="A197" s="1" t="s">
        <v>143</v>
      </c>
      <c r="B197" s="1" t="s">
        <v>164</v>
      </c>
      <c r="C197" s="45">
        <v>5.35</v>
      </c>
      <c r="D197" s="45">
        <v>5.24</v>
      </c>
      <c r="F197" s="3" t="s">
        <v>0</v>
      </c>
      <c r="G197" s="3" t="s">
        <v>0</v>
      </c>
    </row>
    <row r="198" spans="1:7">
      <c r="A198" s="1" t="s">
        <v>143</v>
      </c>
      <c r="B198" s="1" t="s">
        <v>165</v>
      </c>
      <c r="C198" s="45">
        <v>3.59</v>
      </c>
      <c r="D198" s="45">
        <v>3.47</v>
      </c>
      <c r="F198" s="3" t="s">
        <v>0</v>
      </c>
      <c r="G198" s="3" t="s">
        <v>0</v>
      </c>
    </row>
    <row r="199" spans="1:7">
      <c r="A199" s="1" t="s">
        <v>168</v>
      </c>
      <c r="B199" s="1" t="s">
        <v>195</v>
      </c>
      <c r="C199" s="45">
        <v>6.59</v>
      </c>
      <c r="D199" s="45">
        <v>6.88</v>
      </c>
      <c r="F199" s="3" t="s">
        <v>0</v>
      </c>
      <c r="G199" s="3" t="s">
        <v>0</v>
      </c>
    </row>
    <row r="200" spans="1:7">
      <c r="A200" s="1" t="s">
        <v>56</v>
      </c>
      <c r="B200" s="1" t="s">
        <v>82</v>
      </c>
      <c r="C200" s="45">
        <v>4.12</v>
      </c>
      <c r="D200" s="45">
        <v>4.88</v>
      </c>
      <c r="F200" s="3" t="s">
        <v>0</v>
      </c>
      <c r="G200" s="3" t="s">
        <v>0</v>
      </c>
    </row>
    <row r="201" spans="1:7">
      <c r="A201" s="1" t="s">
        <v>114</v>
      </c>
      <c r="B201" s="1" t="s">
        <v>142</v>
      </c>
      <c r="C201" s="45">
        <v>9.18</v>
      </c>
      <c r="D201" s="45">
        <v>8.94</v>
      </c>
      <c r="F201" s="3" t="s">
        <v>0</v>
      </c>
      <c r="G201" s="3" t="s">
        <v>0</v>
      </c>
    </row>
    <row r="202" spans="1:7">
      <c r="A202" s="1" t="s">
        <v>168</v>
      </c>
      <c r="B202" s="1" t="s">
        <v>196</v>
      </c>
      <c r="C202" s="45">
        <v>7.12</v>
      </c>
      <c r="D202" s="45">
        <v>7.24</v>
      </c>
      <c r="F202" s="3" t="s">
        <v>0</v>
      </c>
      <c r="G202" s="3" t="s">
        <v>0</v>
      </c>
    </row>
    <row r="203" spans="1:7">
      <c r="A203" s="1" t="s">
        <v>27</v>
      </c>
      <c r="B203" s="1" t="s">
        <v>53</v>
      </c>
      <c r="C203" s="45">
        <v>8</v>
      </c>
      <c r="D203" s="45">
        <v>8.18</v>
      </c>
      <c r="F203" s="3" t="s">
        <v>0</v>
      </c>
      <c r="G203" s="3" t="s">
        <v>0</v>
      </c>
    </row>
    <row r="204" spans="1:7">
      <c r="A204" s="1" t="s">
        <v>143</v>
      </c>
      <c r="B204" s="1" t="s">
        <v>166</v>
      </c>
      <c r="C204" s="45">
        <v>9.4700000000000006</v>
      </c>
      <c r="D204" s="45">
        <v>9.8800000000000008</v>
      </c>
      <c r="F204" s="3" t="s">
        <v>0</v>
      </c>
      <c r="G204" s="3" t="s">
        <v>0</v>
      </c>
    </row>
    <row r="205" spans="1:7">
      <c r="A205" s="1" t="s">
        <v>27</v>
      </c>
      <c r="B205" s="1" t="s">
        <v>54</v>
      </c>
      <c r="C205" s="45">
        <v>5.88</v>
      </c>
      <c r="D205" s="45">
        <v>5.65</v>
      </c>
      <c r="F205" s="3" t="s">
        <v>0</v>
      </c>
      <c r="G205" s="3" t="s">
        <v>0</v>
      </c>
    </row>
    <row r="206" spans="1:7">
      <c r="A206" s="1" t="s">
        <v>197</v>
      </c>
      <c r="B206" s="1" t="s">
        <v>218</v>
      </c>
      <c r="C206" s="45">
        <v>7.53</v>
      </c>
      <c r="D206" s="45">
        <v>6.59</v>
      </c>
      <c r="F206" s="3" t="s">
        <v>0</v>
      </c>
      <c r="G206" s="3" t="s">
        <v>0</v>
      </c>
    </row>
    <row r="207" spans="1:7">
      <c r="A207" s="1" t="s">
        <v>3</v>
      </c>
      <c r="B207" s="1" t="s">
        <v>26</v>
      </c>
      <c r="C207" s="45">
        <v>6.65</v>
      </c>
      <c r="D207" s="45">
        <v>7.65</v>
      </c>
      <c r="F207" s="3" t="s">
        <v>0</v>
      </c>
      <c r="G207" s="3" t="s">
        <v>0</v>
      </c>
    </row>
    <row r="208" spans="1:7">
      <c r="A208" s="1" t="s">
        <v>56</v>
      </c>
      <c r="B208" s="1" t="s">
        <v>83</v>
      </c>
      <c r="C208" s="45">
        <v>6.12</v>
      </c>
      <c r="D208" s="45">
        <v>7.12</v>
      </c>
      <c r="F208" s="3" t="s">
        <v>0</v>
      </c>
      <c r="G208" s="3" t="s">
        <v>0</v>
      </c>
    </row>
    <row r="209" spans="1:7">
      <c r="A209" s="1" t="s">
        <v>143</v>
      </c>
      <c r="B209" s="1" t="s">
        <v>167</v>
      </c>
      <c r="C209" s="45">
        <v>6.76</v>
      </c>
      <c r="D209" s="45"/>
      <c r="F209" s="3" t="s">
        <v>0</v>
      </c>
      <c r="G209" s="3" t="s">
        <v>0</v>
      </c>
    </row>
    <row r="210" spans="1:7">
      <c r="A210" s="1" t="s">
        <v>56</v>
      </c>
      <c r="B210" s="1" t="s">
        <v>84</v>
      </c>
      <c r="C210" s="45">
        <v>8.76</v>
      </c>
      <c r="D210" s="45">
        <v>9.35</v>
      </c>
      <c r="F210" s="3" t="s">
        <v>0</v>
      </c>
      <c r="G210" s="3" t="s">
        <v>0</v>
      </c>
    </row>
    <row r="211" spans="1:7">
      <c r="A211" s="1" t="s">
        <v>27</v>
      </c>
      <c r="B211" s="1" t="s">
        <v>55</v>
      </c>
      <c r="C211" s="45">
        <v>7.41</v>
      </c>
      <c r="D211" s="45">
        <v>7.41</v>
      </c>
      <c r="F211" s="3" t="s">
        <v>0</v>
      </c>
      <c r="G211" s="3" t="s">
        <v>0</v>
      </c>
    </row>
    <row r="212" spans="1:7">
      <c r="A212" s="1" t="s">
        <v>85</v>
      </c>
      <c r="B212" s="1" t="s">
        <v>113</v>
      </c>
      <c r="C212" s="45">
        <v>7.18</v>
      </c>
      <c r="D212" s="45">
        <v>7.47</v>
      </c>
      <c r="F212" s="3" t="s">
        <v>0</v>
      </c>
      <c r="G212" s="3" t="s">
        <v>0</v>
      </c>
    </row>
    <row r="213" spans="1:7">
      <c r="A213" s="1" t="s">
        <v>197</v>
      </c>
      <c r="B213" s="1" t="s">
        <v>219</v>
      </c>
      <c r="C213" s="45">
        <v>6.06</v>
      </c>
      <c r="D213" s="45">
        <v>5.82</v>
      </c>
      <c r="F213" s="3" t="s">
        <v>0</v>
      </c>
      <c r="G213" s="3" t="s">
        <v>0</v>
      </c>
    </row>
  </sheetData>
  <mergeCells count="5">
    <mergeCell ref="C1:D1"/>
    <mergeCell ref="B1:B2"/>
    <mergeCell ref="A1:A2"/>
    <mergeCell ref="F1:F2"/>
    <mergeCell ref="G1:G2"/>
  </mergeCells>
  <pageMargins left="0.7" right="0.7" top="0.75" bottom="0.75" header="0.3" footer="0.3"/>
  <pageSetup paperSize="9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9"/>
  <sheetViews>
    <sheetView workbookViewId="0">
      <selection activeCell="M10" sqref="M10"/>
    </sheetView>
  </sheetViews>
  <sheetFormatPr defaultRowHeight="15"/>
  <cols>
    <col min="1" max="3" width="7.5703125" customWidth="1"/>
    <col min="4" max="4" width="9.140625" style="3" customWidth="1"/>
    <col min="5" max="5" width="11.42578125" customWidth="1"/>
    <col min="10" max="10" width="11.42578125" customWidth="1"/>
  </cols>
  <sheetData>
    <row r="1" spans="1:10" ht="37.5" customHeight="1">
      <c r="A1" s="134" t="s">
        <v>228</v>
      </c>
      <c r="B1" s="135"/>
      <c r="C1" s="135"/>
      <c r="D1" s="135"/>
      <c r="E1" s="136"/>
      <c r="G1" s="134" t="s">
        <v>228</v>
      </c>
      <c r="H1" s="135"/>
      <c r="I1" s="135"/>
      <c r="J1" s="136"/>
    </row>
    <row r="2" spans="1:10" ht="15" customHeight="1">
      <c r="A2" s="137" t="s">
        <v>481</v>
      </c>
      <c r="B2" s="138"/>
      <c r="C2" s="138"/>
      <c r="D2" s="138"/>
      <c r="E2" s="139"/>
      <c r="G2" s="140" t="s">
        <v>482</v>
      </c>
      <c r="H2" s="141"/>
      <c r="I2" s="141"/>
      <c r="J2" s="142"/>
    </row>
    <row r="3" spans="1:10" ht="30">
      <c r="A3" s="18" t="s">
        <v>224</v>
      </c>
      <c r="B3" s="19" t="s">
        <v>225</v>
      </c>
      <c r="C3" s="20" t="s">
        <v>226</v>
      </c>
      <c r="D3" s="21" t="s">
        <v>229</v>
      </c>
      <c r="E3" s="106" t="s">
        <v>230</v>
      </c>
      <c r="G3" s="18" t="s">
        <v>224</v>
      </c>
      <c r="H3" s="19" t="s">
        <v>225</v>
      </c>
      <c r="I3" s="20" t="s">
        <v>226</v>
      </c>
      <c r="J3" s="106" t="s">
        <v>230</v>
      </c>
    </row>
    <row r="4" spans="1:10">
      <c r="A4" s="5">
        <v>2</v>
      </c>
      <c r="B4" s="6">
        <v>4</v>
      </c>
      <c r="C4" s="7">
        <v>2</v>
      </c>
      <c r="D4" s="107">
        <f>B4^2-4*A4*C4</f>
        <v>0</v>
      </c>
      <c r="E4" s="111" t="s">
        <v>0</v>
      </c>
      <c r="G4" s="5">
        <v>3</v>
      </c>
      <c r="H4" s="6">
        <v>2</v>
      </c>
      <c r="I4" s="7">
        <v>-11</v>
      </c>
      <c r="J4" s="110" t="s">
        <v>0</v>
      </c>
    </row>
    <row r="5" spans="1:10">
      <c r="A5" s="10">
        <v>6</v>
      </c>
      <c r="B5" s="11">
        <v>-4</v>
      </c>
      <c r="C5" s="12">
        <v>10</v>
      </c>
      <c r="D5" s="108">
        <f t="shared" ref="D5:D19" si="0">B5^2-4*A5*C5</f>
        <v>-224</v>
      </c>
      <c r="E5" s="111" t="s">
        <v>0</v>
      </c>
      <c r="G5" s="10">
        <v>3</v>
      </c>
      <c r="H5" s="11">
        <v>4</v>
      </c>
      <c r="I5" s="12">
        <v>0</v>
      </c>
      <c r="J5" s="111" t="s">
        <v>0</v>
      </c>
    </row>
    <row r="6" spans="1:10">
      <c r="A6" s="10">
        <v>22</v>
      </c>
      <c r="B6" s="11">
        <v>1</v>
      </c>
      <c r="C6" s="12">
        <v>12</v>
      </c>
      <c r="D6" s="108">
        <f t="shared" si="0"/>
        <v>-1055</v>
      </c>
      <c r="E6" s="111" t="s">
        <v>450</v>
      </c>
      <c r="G6" s="10">
        <v>2</v>
      </c>
      <c r="H6" s="11">
        <v>0</v>
      </c>
      <c r="I6" s="12">
        <v>0</v>
      </c>
      <c r="J6" s="111" t="s">
        <v>408</v>
      </c>
    </row>
    <row r="7" spans="1:10">
      <c r="A7" s="10">
        <v>3</v>
      </c>
      <c r="B7" s="11">
        <v>45</v>
      </c>
      <c r="C7" s="12">
        <v>1</v>
      </c>
      <c r="D7" s="108">
        <f t="shared" si="0"/>
        <v>2013</v>
      </c>
      <c r="E7" s="111" t="s">
        <v>408</v>
      </c>
      <c r="G7" s="10">
        <v>-3</v>
      </c>
      <c r="H7" s="11">
        <v>0</v>
      </c>
      <c r="I7" s="12">
        <v>4</v>
      </c>
      <c r="J7" s="111" t="s">
        <v>0</v>
      </c>
    </row>
    <row r="8" spans="1:10">
      <c r="A8" s="10">
        <v>4</v>
      </c>
      <c r="B8" s="11">
        <v>-24</v>
      </c>
      <c r="C8" s="12">
        <v>9</v>
      </c>
      <c r="D8" s="108">
        <f t="shared" si="0"/>
        <v>432</v>
      </c>
      <c r="E8" s="111" t="s">
        <v>0</v>
      </c>
      <c r="G8" s="10">
        <v>5</v>
      </c>
      <c r="H8" s="11">
        <v>66</v>
      </c>
      <c r="I8" s="12">
        <v>2</v>
      </c>
      <c r="J8" s="111" t="s">
        <v>408</v>
      </c>
    </row>
    <row r="9" spans="1:10">
      <c r="A9" s="10">
        <v>-10</v>
      </c>
      <c r="B9" s="11">
        <v>6</v>
      </c>
      <c r="C9" s="12">
        <v>5</v>
      </c>
      <c r="D9" s="108">
        <f t="shared" si="0"/>
        <v>236</v>
      </c>
      <c r="E9" s="111" t="s">
        <v>0</v>
      </c>
      <c r="G9" s="10">
        <v>-2</v>
      </c>
      <c r="H9" s="11">
        <v>-12</v>
      </c>
      <c r="I9" s="12">
        <v>1</v>
      </c>
      <c r="J9" s="111" t="s">
        <v>0</v>
      </c>
    </row>
    <row r="10" spans="1:10">
      <c r="A10" s="10">
        <v>-4</v>
      </c>
      <c r="B10" s="11">
        <v>-2</v>
      </c>
      <c r="C10" s="12">
        <v>5</v>
      </c>
      <c r="D10" s="108">
        <f t="shared" si="0"/>
        <v>84</v>
      </c>
      <c r="E10" s="111" t="s">
        <v>0</v>
      </c>
      <c r="G10" s="10">
        <v>5</v>
      </c>
      <c r="H10" s="11">
        <v>3</v>
      </c>
      <c r="I10" s="12">
        <v>-10</v>
      </c>
      <c r="J10" s="111" t="s">
        <v>0</v>
      </c>
    </row>
    <row r="11" spans="1:10">
      <c r="A11" s="10">
        <v>49</v>
      </c>
      <c r="B11" s="11">
        <v>42</v>
      </c>
      <c r="C11" s="12">
        <v>9</v>
      </c>
      <c r="D11" s="108">
        <f t="shared" si="0"/>
        <v>0</v>
      </c>
      <c r="E11" s="111" t="s">
        <v>408</v>
      </c>
      <c r="G11" s="10">
        <v>4</v>
      </c>
      <c r="H11" s="11">
        <v>4</v>
      </c>
      <c r="I11" s="12">
        <v>4</v>
      </c>
      <c r="J11" s="111" t="s">
        <v>0</v>
      </c>
    </row>
    <row r="12" spans="1:10">
      <c r="A12" s="10">
        <v>4</v>
      </c>
      <c r="B12" s="11">
        <v>5</v>
      </c>
      <c r="C12" s="12">
        <v>6</v>
      </c>
      <c r="D12" s="108">
        <f t="shared" si="0"/>
        <v>-71</v>
      </c>
      <c r="E12" s="111" t="s">
        <v>0</v>
      </c>
      <c r="G12" s="10">
        <v>6</v>
      </c>
      <c r="H12" s="11">
        <v>3</v>
      </c>
      <c r="I12" s="12">
        <v>-12</v>
      </c>
      <c r="J12" s="111" t="s">
        <v>0</v>
      </c>
    </row>
    <row r="13" spans="1:10">
      <c r="A13" s="10">
        <v>2</v>
      </c>
      <c r="B13" s="11">
        <v>43</v>
      </c>
      <c r="C13" s="12">
        <v>2</v>
      </c>
      <c r="D13" s="108">
        <f t="shared" si="0"/>
        <v>1833</v>
      </c>
      <c r="E13" s="111" t="s">
        <v>0</v>
      </c>
      <c r="G13" s="10">
        <v>7</v>
      </c>
      <c r="H13" s="11">
        <v>6</v>
      </c>
      <c r="I13" s="12">
        <v>2</v>
      </c>
      <c r="J13" s="111" t="s">
        <v>450</v>
      </c>
    </row>
    <row r="14" spans="1:10">
      <c r="A14" s="10">
        <v>3</v>
      </c>
      <c r="B14" s="11">
        <v>-3</v>
      </c>
      <c r="C14" s="12">
        <v>-2</v>
      </c>
      <c r="D14" s="108">
        <f t="shared" si="0"/>
        <v>33</v>
      </c>
      <c r="E14" s="111" t="s">
        <v>0</v>
      </c>
      <c r="G14" s="10">
        <v>16</v>
      </c>
      <c r="H14" s="11">
        <v>8</v>
      </c>
      <c r="I14" s="12">
        <v>1</v>
      </c>
      <c r="J14" s="111" t="s">
        <v>0</v>
      </c>
    </row>
    <row r="15" spans="1:10">
      <c r="A15" s="10">
        <v>4</v>
      </c>
      <c r="B15" s="11">
        <v>3</v>
      </c>
      <c r="C15" s="12">
        <v>1</v>
      </c>
      <c r="D15" s="108">
        <f t="shared" si="0"/>
        <v>-7</v>
      </c>
      <c r="E15" s="111" t="s">
        <v>0</v>
      </c>
      <c r="G15" s="10">
        <v>-9</v>
      </c>
      <c r="H15" s="11">
        <v>7</v>
      </c>
      <c r="I15" s="12">
        <v>5</v>
      </c>
      <c r="J15" s="111" t="s">
        <v>0</v>
      </c>
    </row>
    <row r="16" spans="1:10">
      <c r="A16" s="10">
        <v>1</v>
      </c>
      <c r="B16" s="11">
        <v>10</v>
      </c>
      <c r="C16" s="12">
        <v>25</v>
      </c>
      <c r="D16" s="108">
        <f t="shared" si="0"/>
        <v>0</v>
      </c>
      <c r="E16" s="111" t="s">
        <v>0</v>
      </c>
      <c r="G16" s="10">
        <v>-9</v>
      </c>
      <c r="H16" s="11">
        <v>-7</v>
      </c>
      <c r="I16" s="12">
        <v>-6</v>
      </c>
      <c r="J16" s="111" t="s">
        <v>0</v>
      </c>
    </row>
    <row r="17" spans="1:10">
      <c r="A17" s="10">
        <v>7</v>
      </c>
      <c r="B17" s="11">
        <v>27</v>
      </c>
      <c r="C17" s="12">
        <v>7</v>
      </c>
      <c r="D17" s="108">
        <f t="shared" si="0"/>
        <v>533</v>
      </c>
      <c r="E17" s="111" t="s">
        <v>0</v>
      </c>
      <c r="G17" s="10">
        <v>3</v>
      </c>
      <c r="H17" s="11">
        <v>2</v>
      </c>
      <c r="I17" s="12">
        <v>1</v>
      </c>
      <c r="J17" s="111" t="s">
        <v>0</v>
      </c>
    </row>
    <row r="18" spans="1:10">
      <c r="A18" s="10">
        <v>4</v>
      </c>
      <c r="B18" s="11">
        <v>1</v>
      </c>
      <c r="C18" s="12">
        <v>-20</v>
      </c>
      <c r="D18" s="108">
        <f t="shared" si="0"/>
        <v>321</v>
      </c>
      <c r="E18" s="111" t="s">
        <v>0</v>
      </c>
      <c r="G18" s="10">
        <v>9</v>
      </c>
      <c r="H18" s="11">
        <v>60</v>
      </c>
      <c r="I18" s="12">
        <v>100</v>
      </c>
      <c r="J18" s="111" t="s">
        <v>0</v>
      </c>
    </row>
    <row r="19" spans="1:10">
      <c r="A19" s="15">
        <v>-10</v>
      </c>
      <c r="B19" s="16">
        <v>-2</v>
      </c>
      <c r="C19" s="17">
        <v>3</v>
      </c>
      <c r="D19" s="109">
        <f t="shared" si="0"/>
        <v>124</v>
      </c>
      <c r="E19" s="112" t="s">
        <v>0</v>
      </c>
      <c r="G19" s="15">
        <v>7</v>
      </c>
      <c r="H19" s="16">
        <v>4</v>
      </c>
      <c r="I19" s="17">
        <v>3</v>
      </c>
      <c r="J19" s="112" t="s">
        <v>0</v>
      </c>
    </row>
  </sheetData>
  <mergeCells count="4">
    <mergeCell ref="A1:E1"/>
    <mergeCell ref="A2:E2"/>
    <mergeCell ref="G2:J2"/>
    <mergeCell ref="G1:J1"/>
  </mergeCells>
  <pageMargins left="0.7" right="0.7" top="0.75" bottom="0.75" header="0.3" footer="0.3"/>
  <pageSetup paperSize="9" orientation="portrait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FFF00"/>
  </sheetPr>
  <dimension ref="A1:Q14"/>
  <sheetViews>
    <sheetView workbookViewId="0">
      <selection activeCell="K16" sqref="K16"/>
    </sheetView>
  </sheetViews>
  <sheetFormatPr defaultRowHeight="12.75"/>
  <cols>
    <col min="1" max="1" width="3.7109375" style="55" customWidth="1"/>
    <col min="2" max="2" width="10.140625" style="55" bestFit="1" customWidth="1"/>
    <col min="3" max="3" width="19.42578125" style="55" bestFit="1" customWidth="1"/>
    <col min="4" max="15" width="9.85546875" style="55" customWidth="1"/>
    <col min="16" max="16" width="14" style="55" customWidth="1"/>
    <col min="17" max="17" width="11.140625" style="55" customWidth="1"/>
    <col min="18" max="16384" width="9.140625" style="55"/>
  </cols>
  <sheetData>
    <row r="1" spans="1:17" s="68" customFormat="1" ht="34.5" customHeight="1">
      <c r="A1" s="65"/>
      <c r="B1" s="65"/>
      <c r="C1" s="66"/>
      <c r="D1" s="67" t="s">
        <v>409</v>
      </c>
      <c r="E1" s="65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</row>
    <row r="2" spans="1:17" ht="15" customHeight="1">
      <c r="A2" s="148" t="s">
        <v>410</v>
      </c>
      <c r="B2" s="149" t="s">
        <v>411</v>
      </c>
      <c r="C2" s="149"/>
      <c r="D2" s="149" t="s">
        <v>412</v>
      </c>
      <c r="E2" s="149"/>
      <c r="F2" s="149"/>
      <c r="G2" s="149" t="s">
        <v>413</v>
      </c>
      <c r="H2" s="149"/>
      <c r="I2" s="149"/>
      <c r="J2" s="149" t="s">
        <v>414</v>
      </c>
      <c r="K2" s="149"/>
      <c r="L2" s="149"/>
      <c r="M2" s="149" t="s">
        <v>415</v>
      </c>
      <c r="N2" s="149"/>
      <c r="O2" s="149"/>
    </row>
    <row r="3" spans="1:17" ht="30.75" customHeight="1">
      <c r="A3" s="148"/>
      <c r="B3" s="149"/>
      <c r="C3" s="149"/>
      <c r="D3" s="69" t="s">
        <v>416</v>
      </c>
      <c r="E3" s="69" t="s">
        <v>417</v>
      </c>
      <c r="F3" s="69" t="s">
        <v>418</v>
      </c>
      <c r="G3" s="69" t="s">
        <v>419</v>
      </c>
      <c r="H3" s="69" t="s">
        <v>420</v>
      </c>
      <c r="I3" s="69" t="s">
        <v>421</v>
      </c>
      <c r="J3" s="69" t="s">
        <v>422</v>
      </c>
      <c r="K3" s="69" t="s">
        <v>423</v>
      </c>
      <c r="L3" s="69" t="s">
        <v>424</v>
      </c>
      <c r="M3" s="69" t="s">
        <v>425</v>
      </c>
      <c r="N3" s="69" t="s">
        <v>426</v>
      </c>
      <c r="O3" s="69" t="s">
        <v>427</v>
      </c>
      <c r="P3" s="75" t="s">
        <v>454</v>
      </c>
    </row>
    <row r="4" spans="1:17" ht="15">
      <c r="A4" s="70">
        <v>1</v>
      </c>
      <c r="B4" s="71" t="s">
        <v>428</v>
      </c>
      <c r="C4" s="71" t="s">
        <v>429</v>
      </c>
      <c r="D4" s="71">
        <v>-12200</v>
      </c>
      <c r="E4" s="71">
        <v>11000</v>
      </c>
      <c r="F4" s="71">
        <v>-4500</v>
      </c>
      <c r="G4" s="71">
        <v>-200</v>
      </c>
      <c r="H4" s="71">
        <v>200</v>
      </c>
      <c r="I4" s="71">
        <v>-800</v>
      </c>
      <c r="J4" s="71">
        <v>900</v>
      </c>
      <c r="K4" s="71">
        <v>100</v>
      </c>
      <c r="L4" s="72">
        <v>0</v>
      </c>
      <c r="M4" s="71">
        <v>-300</v>
      </c>
      <c r="N4" s="71">
        <v>-1400</v>
      </c>
      <c r="O4" s="71">
        <v>-5600</v>
      </c>
      <c r="P4" s="143" t="s">
        <v>0</v>
      </c>
    </row>
    <row r="5" spans="1:17" ht="15">
      <c r="A5" s="70">
        <v>2</v>
      </c>
      <c r="B5" s="71" t="s">
        <v>430</v>
      </c>
      <c r="C5" s="71" t="s">
        <v>431</v>
      </c>
      <c r="D5" s="71">
        <v>-800</v>
      </c>
      <c r="E5" s="71">
        <v>1200</v>
      </c>
      <c r="F5" s="71">
        <v>500</v>
      </c>
      <c r="G5" s="71">
        <v>-1600</v>
      </c>
      <c r="H5" s="71">
        <v>-2000</v>
      </c>
      <c r="I5" s="71">
        <v>-1800</v>
      </c>
      <c r="J5" s="71">
        <v>-1100</v>
      </c>
      <c r="K5" s="71">
        <v>400</v>
      </c>
      <c r="L5" s="72">
        <v>500</v>
      </c>
      <c r="M5" s="71">
        <v>1300</v>
      </c>
      <c r="N5" s="71">
        <v>400</v>
      </c>
      <c r="O5" s="71">
        <v>-700</v>
      </c>
      <c r="P5" s="144"/>
    </row>
    <row r="6" spans="1:17" ht="15">
      <c r="A6" s="70">
        <v>3</v>
      </c>
      <c r="B6" s="71" t="s">
        <v>432</v>
      </c>
      <c r="C6" s="71" t="s">
        <v>433</v>
      </c>
      <c r="D6" s="71">
        <v>1200</v>
      </c>
      <c r="E6" s="71">
        <v>800</v>
      </c>
      <c r="F6" s="71">
        <v>0</v>
      </c>
      <c r="G6" s="71">
        <v>12100</v>
      </c>
      <c r="H6" s="71">
        <v>10000</v>
      </c>
      <c r="I6" s="71">
        <v>8900</v>
      </c>
      <c r="J6" s="71">
        <v>5400</v>
      </c>
      <c r="K6" s="71">
        <v>200</v>
      </c>
      <c r="L6" s="72">
        <v>-1200</v>
      </c>
      <c r="M6" s="71">
        <v>5600</v>
      </c>
      <c r="N6" s="71">
        <v>2300</v>
      </c>
      <c r="O6" s="71">
        <v>3200</v>
      </c>
      <c r="P6" s="144"/>
    </row>
    <row r="7" spans="1:17" ht="15">
      <c r="A7" s="70">
        <v>4</v>
      </c>
      <c r="B7" s="71" t="s">
        <v>434</v>
      </c>
      <c r="C7" s="71" t="s">
        <v>435</v>
      </c>
      <c r="D7" s="71">
        <v>0</v>
      </c>
      <c r="E7" s="71">
        <v>200</v>
      </c>
      <c r="F7" s="71">
        <v>300</v>
      </c>
      <c r="G7" s="71">
        <v>-200</v>
      </c>
      <c r="H7" s="71">
        <v>-1300</v>
      </c>
      <c r="I7" s="71">
        <v>1000</v>
      </c>
      <c r="J7" s="71">
        <v>1300</v>
      </c>
      <c r="K7" s="71">
        <v>600</v>
      </c>
      <c r="L7" s="72">
        <v>-100</v>
      </c>
      <c r="M7" s="71">
        <v>-400</v>
      </c>
      <c r="N7" s="71">
        <v>-600</v>
      </c>
      <c r="O7" s="71">
        <v>200</v>
      </c>
      <c r="P7" s="144"/>
    </row>
    <row r="8" spans="1:17" ht="15">
      <c r="A8" s="70">
        <v>5</v>
      </c>
      <c r="B8" s="71" t="s">
        <v>436</v>
      </c>
      <c r="C8" s="71" t="s">
        <v>437</v>
      </c>
      <c r="D8" s="71">
        <v>-7500</v>
      </c>
      <c r="E8" s="71">
        <v>-4600</v>
      </c>
      <c r="F8" s="71">
        <v>-9000</v>
      </c>
      <c r="G8" s="71">
        <v>23000</v>
      </c>
      <c r="H8" s="71">
        <v>-9900</v>
      </c>
      <c r="I8" s="71">
        <v>-800</v>
      </c>
      <c r="J8" s="71">
        <v>600</v>
      </c>
      <c r="K8" s="71">
        <v>1200</v>
      </c>
      <c r="L8" s="72">
        <v>800</v>
      </c>
      <c r="M8" s="71">
        <v>-1200</v>
      </c>
      <c r="N8" s="71">
        <v>-10000</v>
      </c>
      <c r="O8" s="71">
        <v>-8700</v>
      </c>
      <c r="P8" s="144"/>
    </row>
    <row r="9" spans="1:17" ht="15">
      <c r="A9" s="70">
        <v>6</v>
      </c>
      <c r="B9" s="71" t="s">
        <v>438</v>
      </c>
      <c r="C9" s="71" t="s">
        <v>439</v>
      </c>
      <c r="D9" s="71">
        <v>-900</v>
      </c>
      <c r="E9" s="71">
        <v>-200</v>
      </c>
      <c r="F9" s="71">
        <v>500</v>
      </c>
      <c r="G9" s="71">
        <v>-200</v>
      </c>
      <c r="H9" s="71">
        <v>0</v>
      </c>
      <c r="I9" s="71">
        <v>100</v>
      </c>
      <c r="J9" s="71">
        <v>600</v>
      </c>
      <c r="K9" s="71">
        <v>700</v>
      </c>
      <c r="L9" s="72">
        <v>-200</v>
      </c>
      <c r="M9" s="71">
        <v>-1000</v>
      </c>
      <c r="N9" s="71">
        <v>900</v>
      </c>
      <c r="O9" s="71">
        <v>-3300</v>
      </c>
      <c r="P9" s="144"/>
    </row>
    <row r="10" spans="1:17" ht="15">
      <c r="A10" s="70">
        <v>7</v>
      </c>
      <c r="B10" s="71" t="s">
        <v>440</v>
      </c>
      <c r="C10" s="71" t="s">
        <v>441</v>
      </c>
      <c r="D10" s="71">
        <v>700</v>
      </c>
      <c r="E10" s="71">
        <v>200</v>
      </c>
      <c r="F10" s="71">
        <v>0</v>
      </c>
      <c r="G10" s="71">
        <v>300</v>
      </c>
      <c r="H10" s="71">
        <v>500</v>
      </c>
      <c r="I10" s="71">
        <v>600</v>
      </c>
      <c r="J10" s="71">
        <v>600</v>
      </c>
      <c r="K10" s="71">
        <v>1300</v>
      </c>
      <c r="L10" s="72">
        <v>-400</v>
      </c>
      <c r="M10" s="71">
        <v>0</v>
      </c>
      <c r="N10" s="71">
        <v>1200</v>
      </c>
      <c r="O10" s="71">
        <v>1100</v>
      </c>
      <c r="P10" s="144"/>
    </row>
    <row r="11" spans="1:17" ht="15">
      <c r="A11" s="70">
        <v>8</v>
      </c>
      <c r="B11" s="71" t="s">
        <v>442</v>
      </c>
      <c r="C11" s="71" t="s">
        <v>443</v>
      </c>
      <c r="D11" s="71">
        <v>100</v>
      </c>
      <c r="E11" s="71">
        <v>-300</v>
      </c>
      <c r="F11" s="71">
        <v>-500</v>
      </c>
      <c r="G11" s="71">
        <v>200</v>
      </c>
      <c r="H11" s="71">
        <v>900</v>
      </c>
      <c r="I11" s="71">
        <v>700</v>
      </c>
      <c r="J11" s="71">
        <v>100</v>
      </c>
      <c r="K11" s="71">
        <v>-400</v>
      </c>
      <c r="L11" s="72">
        <v>-700</v>
      </c>
      <c r="M11" s="71">
        <v>-1800</v>
      </c>
      <c r="N11" s="71">
        <v>-2100</v>
      </c>
      <c r="O11" s="71">
        <v>-1200</v>
      </c>
      <c r="P11" s="144"/>
    </row>
    <row r="12" spans="1:17" ht="15">
      <c r="A12" s="70">
        <v>9</v>
      </c>
      <c r="B12" s="71" t="s">
        <v>444</v>
      </c>
      <c r="C12" s="71" t="s">
        <v>445</v>
      </c>
      <c r="D12" s="71">
        <v>600</v>
      </c>
      <c r="E12" s="71">
        <v>700</v>
      </c>
      <c r="F12" s="71">
        <v>300</v>
      </c>
      <c r="G12" s="71">
        <v>-500</v>
      </c>
      <c r="H12" s="71">
        <v>-700</v>
      </c>
      <c r="I12" s="71">
        <v>100</v>
      </c>
      <c r="J12" s="71">
        <v>-800</v>
      </c>
      <c r="K12" s="71">
        <v>-2300</v>
      </c>
      <c r="L12" s="72">
        <v>-1700</v>
      </c>
      <c r="M12" s="71">
        <v>400</v>
      </c>
      <c r="N12" s="71">
        <v>0</v>
      </c>
      <c r="O12" s="71">
        <v>-300</v>
      </c>
      <c r="P12" s="144"/>
    </row>
    <row r="13" spans="1:17" ht="15">
      <c r="A13" s="70">
        <v>10</v>
      </c>
      <c r="B13" s="71" t="s">
        <v>446</v>
      </c>
      <c r="C13" s="71" t="s">
        <v>447</v>
      </c>
      <c r="D13" s="71">
        <v>3400</v>
      </c>
      <c r="E13" s="71">
        <v>2100</v>
      </c>
      <c r="F13" s="71">
        <v>1500</v>
      </c>
      <c r="G13" s="71">
        <v>-200</v>
      </c>
      <c r="H13" s="71">
        <v>900</v>
      </c>
      <c r="I13" s="71">
        <v>1300</v>
      </c>
      <c r="J13" s="71">
        <v>-200</v>
      </c>
      <c r="K13" s="71">
        <v>400</v>
      </c>
      <c r="L13" s="72">
        <v>2400</v>
      </c>
      <c r="M13" s="71">
        <v>700</v>
      </c>
      <c r="N13" s="71">
        <v>400</v>
      </c>
      <c r="O13" s="71">
        <v>-600</v>
      </c>
      <c r="P13" s="145"/>
    </row>
    <row r="14" spans="1:17" ht="15">
      <c r="A14" s="146" t="s">
        <v>449</v>
      </c>
      <c r="B14" s="147"/>
      <c r="C14" s="147"/>
      <c r="D14" s="73" t="s">
        <v>0</v>
      </c>
      <c r="E14" s="73" t="s">
        <v>408</v>
      </c>
      <c r="F14" s="73" t="s">
        <v>450</v>
      </c>
      <c r="G14" s="73" t="s">
        <v>0</v>
      </c>
      <c r="H14" s="73" t="s">
        <v>0</v>
      </c>
      <c r="I14" s="73" t="s">
        <v>0</v>
      </c>
      <c r="J14" s="73" t="s">
        <v>0</v>
      </c>
      <c r="K14" s="73" t="s">
        <v>0</v>
      </c>
      <c r="L14" s="73" t="s">
        <v>0</v>
      </c>
      <c r="M14" s="73" t="s">
        <v>0</v>
      </c>
      <c r="N14" s="73" t="s">
        <v>0</v>
      </c>
      <c r="O14" s="73" t="s">
        <v>0</v>
      </c>
      <c r="Q14" s="56"/>
    </row>
  </sheetData>
  <mergeCells count="8">
    <mergeCell ref="P4:P13"/>
    <mergeCell ref="A14:C14"/>
    <mergeCell ref="A2:A3"/>
    <mergeCell ref="B2:C3"/>
    <mergeCell ref="D2:F2"/>
    <mergeCell ref="G2:I2"/>
    <mergeCell ref="J2:L2"/>
    <mergeCell ref="M2:O2"/>
  </mergeCells>
  <pageMargins left="0.7" right="0.7" top="0.75" bottom="0.75" header="0.3" footer="0.3"/>
  <pageSetup paperSize="9" orientation="portrait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2"/>
  <sheetViews>
    <sheetView workbookViewId="0">
      <selection activeCell="H13" sqref="G13:H13"/>
    </sheetView>
  </sheetViews>
  <sheetFormatPr defaultRowHeight="15"/>
  <cols>
    <col min="1" max="1" width="4.28515625" bestFit="1" customWidth="1"/>
    <col min="2" max="2" width="15.7109375" bestFit="1" customWidth="1"/>
    <col min="3" max="4" width="12.140625" customWidth="1"/>
    <col min="5" max="5" width="13.7109375" customWidth="1"/>
    <col min="6" max="6" width="15" customWidth="1"/>
    <col min="7" max="9" width="15.140625" customWidth="1"/>
    <col min="11" max="11" width="14.42578125" customWidth="1"/>
  </cols>
  <sheetData>
    <row r="1" spans="1:11" s="24" customFormat="1" ht="30" customHeight="1" thickBot="1">
      <c r="A1" s="150" t="s">
        <v>243</v>
      </c>
      <c r="B1" s="150"/>
      <c r="C1" s="150"/>
      <c r="D1" s="150"/>
      <c r="E1" s="150"/>
      <c r="F1" s="150"/>
      <c r="G1" s="150"/>
      <c r="H1" s="150"/>
      <c r="I1" s="150"/>
    </row>
    <row r="2" spans="1:11" s="26" customFormat="1" ht="51" customHeight="1" thickBot="1">
      <c r="A2" s="101" t="s">
        <v>233</v>
      </c>
      <c r="B2" s="25" t="s">
        <v>472</v>
      </c>
      <c r="C2" s="25" t="s">
        <v>242</v>
      </c>
      <c r="D2" s="25" t="s">
        <v>244</v>
      </c>
      <c r="E2" s="25" t="s">
        <v>245</v>
      </c>
      <c r="F2" s="25" t="s">
        <v>462</v>
      </c>
      <c r="G2" s="100" t="s">
        <v>478</v>
      </c>
      <c r="H2" s="100" t="s">
        <v>477</v>
      </c>
      <c r="I2" s="25" t="s">
        <v>463</v>
      </c>
    </row>
    <row r="3" spans="1:11">
      <c r="A3" s="102" t="s">
        <v>234</v>
      </c>
      <c r="B3" s="27" t="s">
        <v>464</v>
      </c>
      <c r="C3" s="34">
        <v>23</v>
      </c>
      <c r="D3" s="31">
        <v>92.3</v>
      </c>
      <c r="E3" s="77">
        <f>D3*C3</f>
        <v>2122.9</v>
      </c>
      <c r="F3" s="96" t="s">
        <v>473</v>
      </c>
      <c r="G3" s="91" t="s">
        <v>0</v>
      </c>
      <c r="H3" s="90" t="s">
        <v>0</v>
      </c>
      <c r="I3" s="87" t="s">
        <v>0</v>
      </c>
    </row>
    <row r="4" spans="1:11">
      <c r="A4" s="103" t="s">
        <v>235</v>
      </c>
      <c r="B4" s="28" t="s">
        <v>465</v>
      </c>
      <c r="C4" s="35">
        <v>13.5</v>
      </c>
      <c r="D4" s="32">
        <v>55.67</v>
      </c>
      <c r="E4" s="78">
        <f t="shared" ref="E4:E10" si="0">D4*C4</f>
        <v>751.54500000000007</v>
      </c>
      <c r="F4" s="97" t="s">
        <v>475</v>
      </c>
      <c r="G4" s="92" t="s">
        <v>0</v>
      </c>
      <c r="H4" s="81" t="s">
        <v>0</v>
      </c>
      <c r="I4" s="88" t="s">
        <v>0</v>
      </c>
    </row>
    <row r="5" spans="1:11">
      <c r="A5" s="103" t="s">
        <v>236</v>
      </c>
      <c r="B5" s="28" t="s">
        <v>466</v>
      </c>
      <c r="C5" s="35">
        <v>31.4</v>
      </c>
      <c r="D5" s="32">
        <v>19</v>
      </c>
      <c r="E5" s="78">
        <f t="shared" si="0"/>
        <v>596.6</v>
      </c>
      <c r="F5" s="97"/>
      <c r="G5" s="92" t="s">
        <v>0</v>
      </c>
      <c r="H5" s="81" t="s">
        <v>0</v>
      </c>
      <c r="I5" s="88" t="s">
        <v>0</v>
      </c>
    </row>
    <row r="6" spans="1:11">
      <c r="A6" s="103" t="s">
        <v>237</v>
      </c>
      <c r="B6" s="28" t="s">
        <v>467</v>
      </c>
      <c r="C6" s="35">
        <v>50</v>
      </c>
      <c r="D6" s="32">
        <v>50.4</v>
      </c>
      <c r="E6" s="78">
        <f t="shared" si="0"/>
        <v>2520</v>
      </c>
      <c r="F6" s="97" t="s">
        <v>474</v>
      </c>
      <c r="G6" s="92" t="s">
        <v>0</v>
      </c>
      <c r="H6" s="81" t="s">
        <v>0</v>
      </c>
      <c r="I6" s="88" t="s">
        <v>0</v>
      </c>
    </row>
    <row r="7" spans="1:11">
      <c r="A7" s="103" t="s">
        <v>238</v>
      </c>
      <c r="B7" s="28" t="s">
        <v>468</v>
      </c>
      <c r="C7" s="35">
        <v>88</v>
      </c>
      <c r="D7" s="32">
        <v>21.9</v>
      </c>
      <c r="E7" s="78">
        <f t="shared" si="0"/>
        <v>1927.1999999999998</v>
      </c>
      <c r="F7" s="98"/>
      <c r="G7" s="92" t="s">
        <v>0</v>
      </c>
      <c r="H7" s="81" t="s">
        <v>0</v>
      </c>
      <c r="I7" s="88" t="s">
        <v>0</v>
      </c>
    </row>
    <row r="8" spans="1:11">
      <c r="A8" s="103" t="s">
        <v>239</v>
      </c>
      <c r="B8" s="28" t="s">
        <v>241</v>
      </c>
      <c r="C8" s="35">
        <v>12</v>
      </c>
      <c r="D8" s="32">
        <v>46.55</v>
      </c>
      <c r="E8" s="78">
        <f t="shared" si="0"/>
        <v>558.59999999999991</v>
      </c>
      <c r="F8" s="98"/>
      <c r="G8" s="92" t="s">
        <v>0</v>
      </c>
      <c r="H8" s="81" t="s">
        <v>0</v>
      </c>
      <c r="I8" s="88" t="s">
        <v>0</v>
      </c>
    </row>
    <row r="9" spans="1:11">
      <c r="A9" s="103" t="s">
        <v>240</v>
      </c>
      <c r="B9" s="28" t="s">
        <v>469</v>
      </c>
      <c r="C9" s="35">
        <v>33</v>
      </c>
      <c r="D9" s="32">
        <v>54.65</v>
      </c>
      <c r="E9" s="78">
        <f t="shared" si="0"/>
        <v>1803.45</v>
      </c>
      <c r="F9" s="97"/>
      <c r="G9" s="92" t="s">
        <v>0</v>
      </c>
      <c r="H9" s="81" t="s">
        <v>0</v>
      </c>
      <c r="I9" s="88" t="s">
        <v>0</v>
      </c>
    </row>
    <row r="10" spans="1:11" ht="15.75" thickBot="1">
      <c r="A10" s="104" t="s">
        <v>471</v>
      </c>
      <c r="B10" s="29" t="s">
        <v>470</v>
      </c>
      <c r="C10" s="36">
        <v>7.5</v>
      </c>
      <c r="D10" s="33">
        <v>65</v>
      </c>
      <c r="E10" s="79">
        <f t="shared" si="0"/>
        <v>487.5</v>
      </c>
      <c r="F10" s="99" t="s">
        <v>476</v>
      </c>
      <c r="G10" s="94" t="s">
        <v>0</v>
      </c>
      <c r="H10" s="93" t="s">
        <v>0</v>
      </c>
      <c r="I10" s="105" t="s">
        <v>0</v>
      </c>
      <c r="J10" s="86"/>
    </row>
    <row r="11" spans="1:11" ht="15.75">
      <c r="B11" s="39" t="s">
        <v>220</v>
      </c>
      <c r="C11" s="76">
        <f>SUM(C3:C10)</f>
        <v>258.39999999999998</v>
      </c>
      <c r="D11" s="37"/>
      <c r="E11" s="80">
        <f>SUM(E3:E10)</f>
        <v>10767.795</v>
      </c>
      <c r="F11" s="84"/>
      <c r="G11" s="85"/>
      <c r="H11" s="83"/>
      <c r="I11" s="95" t="s">
        <v>0</v>
      </c>
      <c r="K11" s="89"/>
    </row>
    <row r="12" spans="1:11">
      <c r="A12" s="30"/>
      <c r="D12" s="30"/>
      <c r="E12" s="38"/>
      <c r="F12" s="82"/>
      <c r="G12" s="82"/>
      <c r="H12" s="82"/>
      <c r="I12" s="38"/>
    </row>
  </sheetData>
  <mergeCells count="1">
    <mergeCell ref="A1:I1"/>
  </mergeCells>
  <pageMargins left="0.7" right="0.7" top="0.75" bottom="0.75" header="0.3" footer="0.3"/>
  <pageSetup paperSize="9" orientation="portrait" horizontalDpi="4294967293" verticalDpi="0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FFFF00"/>
  </sheetPr>
  <dimension ref="A1:M11"/>
  <sheetViews>
    <sheetView workbookViewId="0">
      <selection activeCell="E7" sqref="E7"/>
    </sheetView>
  </sheetViews>
  <sheetFormatPr defaultRowHeight="12.75"/>
  <cols>
    <col min="1" max="1" width="17.140625" style="56" customWidth="1"/>
    <col min="2" max="10" width="14.140625" style="56" customWidth="1"/>
    <col min="11" max="16384" width="9.140625" style="56"/>
  </cols>
  <sheetData>
    <row r="1" spans="1:13" s="53" customFormat="1" ht="18.75">
      <c r="A1" s="51"/>
      <c r="B1" s="51"/>
      <c r="C1" s="52" t="s">
        <v>396</v>
      </c>
      <c r="D1" s="51"/>
      <c r="E1" s="51"/>
      <c r="F1" s="51"/>
      <c r="G1" s="51"/>
    </row>
    <row r="2" spans="1:13">
      <c r="A2" s="54"/>
      <c r="B2" s="54"/>
      <c r="C2" s="54"/>
      <c r="D2" s="54"/>
      <c r="E2" s="54"/>
      <c r="F2" s="54"/>
      <c r="G2" s="54"/>
      <c r="H2" s="55"/>
      <c r="I2" s="55"/>
    </row>
    <row r="3" spans="1:13" ht="15.75">
      <c r="A3" s="57" t="s">
        <v>397</v>
      </c>
      <c r="B3" s="58" t="s">
        <v>398</v>
      </c>
      <c r="C3" s="58" t="s">
        <v>399</v>
      </c>
      <c r="D3" s="58" t="s">
        <v>400</v>
      </c>
      <c r="E3" s="58" t="s">
        <v>401</v>
      </c>
      <c r="F3" s="58" t="s">
        <v>402</v>
      </c>
      <c r="G3" s="58" t="s">
        <v>403</v>
      </c>
      <c r="H3" s="58" t="s">
        <v>451</v>
      </c>
      <c r="I3" s="58" t="s">
        <v>452</v>
      </c>
      <c r="J3" s="58" t="s">
        <v>453</v>
      </c>
      <c r="K3" s="60"/>
      <c r="L3" s="60"/>
      <c r="M3" s="60"/>
    </row>
    <row r="4" spans="1:13" ht="15.75">
      <c r="A4" s="61" t="s">
        <v>404</v>
      </c>
      <c r="B4" s="62">
        <v>8</v>
      </c>
      <c r="C4" s="62">
        <v>12</v>
      </c>
      <c r="D4" s="62">
        <v>7</v>
      </c>
      <c r="E4" s="62">
        <v>9</v>
      </c>
      <c r="F4" s="62">
        <v>3</v>
      </c>
      <c r="G4" s="62">
        <v>8</v>
      </c>
      <c r="H4" s="62">
        <v>9</v>
      </c>
      <c r="I4" s="62">
        <v>8</v>
      </c>
      <c r="J4" s="62">
        <v>7</v>
      </c>
      <c r="K4" s="60"/>
      <c r="L4" s="60"/>
      <c r="M4" s="60"/>
    </row>
    <row r="5" spans="1:13" ht="15.75">
      <c r="A5" s="61" t="s">
        <v>405</v>
      </c>
      <c r="B5" s="62">
        <v>9</v>
      </c>
      <c r="C5" s="62">
        <v>5</v>
      </c>
      <c r="D5" s="62">
        <v>7</v>
      </c>
      <c r="E5" s="62">
        <v>10</v>
      </c>
      <c r="F5" s="62">
        <v>4</v>
      </c>
      <c r="G5" s="62">
        <v>6</v>
      </c>
      <c r="H5" s="62">
        <v>15</v>
      </c>
      <c r="I5" s="62">
        <v>15</v>
      </c>
      <c r="J5" s="62">
        <v>3</v>
      </c>
      <c r="K5" s="60"/>
      <c r="L5" s="60"/>
      <c r="M5" s="60"/>
    </row>
    <row r="6" spans="1:13" ht="15.75">
      <c r="A6" s="61" t="s">
        <v>406</v>
      </c>
      <c r="B6" s="62">
        <v>14</v>
      </c>
      <c r="C6" s="62">
        <v>13</v>
      </c>
      <c r="D6" s="62">
        <v>10</v>
      </c>
      <c r="E6" s="62">
        <v>11</v>
      </c>
      <c r="F6" s="62">
        <v>5</v>
      </c>
      <c r="G6" s="62">
        <v>10</v>
      </c>
      <c r="H6" s="62">
        <v>20</v>
      </c>
      <c r="I6" s="62">
        <v>17</v>
      </c>
      <c r="J6" s="62">
        <v>10</v>
      </c>
      <c r="K6" s="60"/>
      <c r="L6" s="60"/>
      <c r="M6" s="60"/>
    </row>
    <row r="7" spans="1:13" ht="49.5">
      <c r="A7" s="74" t="s">
        <v>407</v>
      </c>
      <c r="B7" s="63" t="s">
        <v>0</v>
      </c>
      <c r="C7" s="63" t="s">
        <v>0</v>
      </c>
      <c r="D7" s="63" t="s">
        <v>0</v>
      </c>
      <c r="E7" s="63" t="s">
        <v>502</v>
      </c>
      <c r="F7" s="63" t="s">
        <v>0</v>
      </c>
      <c r="G7" s="63" t="s">
        <v>448</v>
      </c>
      <c r="H7" s="63" t="s">
        <v>0</v>
      </c>
      <c r="I7" s="63" t="s">
        <v>0</v>
      </c>
      <c r="J7" s="63" t="s">
        <v>0</v>
      </c>
      <c r="K7" s="60"/>
      <c r="L7" s="60"/>
      <c r="M7" s="60"/>
    </row>
    <row r="8" spans="1:13" ht="15.75">
      <c r="A8" s="59"/>
      <c r="B8" s="59"/>
      <c r="C8" s="59"/>
      <c r="D8" s="59"/>
      <c r="E8" s="59"/>
      <c r="F8" s="59"/>
      <c r="G8" s="59"/>
      <c r="H8" s="55"/>
      <c r="I8" s="55"/>
    </row>
    <row r="9" spans="1:13" ht="15.75">
      <c r="A9" s="64"/>
      <c r="B9" s="64"/>
      <c r="C9" s="64"/>
      <c r="D9" s="64"/>
      <c r="E9" s="64"/>
      <c r="F9" s="64"/>
      <c r="G9" s="64"/>
    </row>
    <row r="10" spans="1:13" ht="15.75">
      <c r="A10" s="64"/>
      <c r="B10" s="64"/>
      <c r="C10" s="64"/>
      <c r="D10" s="64"/>
      <c r="E10" s="64"/>
      <c r="F10" s="64"/>
      <c r="G10" s="64"/>
    </row>
    <row r="11" spans="1:13" ht="15.75">
      <c r="A11" s="64"/>
      <c r="B11" s="64"/>
      <c r="C11" s="64"/>
      <c r="D11" s="64"/>
      <c r="E11" s="64"/>
      <c r="F11" s="64"/>
      <c r="G11" s="64"/>
    </row>
  </sheetData>
  <pageMargins left="0.7" right="0.7" top="0.75" bottom="0.75" header="0.3" footer="0.3"/>
  <pageSetup paperSize="9" orientation="portrait" horizontalDpi="4294967294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4"/>
  <sheetViews>
    <sheetView workbookViewId="0">
      <selection activeCell="L11" sqref="L11"/>
    </sheetView>
  </sheetViews>
  <sheetFormatPr defaultRowHeight="15"/>
  <cols>
    <col min="1" max="3" width="7.5703125" customWidth="1"/>
    <col min="4" max="4" width="9.140625" style="3" customWidth="1"/>
    <col min="5" max="5" width="9.140625" style="40"/>
  </cols>
  <sheetData>
    <row r="1" spans="1:8" ht="43.5" customHeight="1">
      <c r="A1" s="151" t="s">
        <v>228</v>
      </c>
      <c r="B1" s="151"/>
      <c r="C1" s="151"/>
      <c r="D1" s="151"/>
      <c r="E1" s="151"/>
      <c r="F1" s="151"/>
    </row>
    <row r="2" spans="1:8">
      <c r="A2" s="18" t="s">
        <v>224</v>
      </c>
      <c r="B2" s="19" t="s">
        <v>225</v>
      </c>
      <c r="C2" s="20" t="s">
        <v>226</v>
      </c>
      <c r="D2" s="21" t="s">
        <v>229</v>
      </c>
      <c r="E2" s="22" t="s">
        <v>231</v>
      </c>
      <c r="F2" s="23" t="s">
        <v>232</v>
      </c>
    </row>
    <row r="3" spans="1:8">
      <c r="A3" s="5">
        <v>2</v>
      </c>
      <c r="B3" s="6">
        <v>4</v>
      </c>
      <c r="C3" s="7">
        <v>2</v>
      </c>
      <c r="D3" s="107">
        <f>B3^2-4*A3*C3</f>
        <v>0</v>
      </c>
      <c r="E3" s="8">
        <f>(-B3+SQRT(D3))/(2*A3)</f>
        <v>-1</v>
      </c>
      <c r="F3" s="9">
        <f>(-B3-SQRT(D3))/(2*A3)</f>
        <v>-1</v>
      </c>
    </row>
    <row r="4" spans="1:8">
      <c r="A4" s="10">
        <v>6</v>
      </c>
      <c r="B4" s="11">
        <v>-4</v>
      </c>
      <c r="C4" s="12">
        <v>10</v>
      </c>
      <c r="D4" s="108">
        <f t="shared" ref="D4:D34" si="0">B4^2-4*A4*C4</f>
        <v>-224</v>
      </c>
      <c r="E4" s="13" t="e">
        <f t="shared" ref="E4:E6" si="1">(-B4+SQRT(D4))/(2*A4)</f>
        <v>#NUM!</v>
      </c>
      <c r="F4" s="14" t="e">
        <f t="shared" ref="F4:F6" si="2">(-B4-SQRT(D4))/(2*A4)</f>
        <v>#NUM!</v>
      </c>
      <c r="H4" s="43" t="s">
        <v>247</v>
      </c>
    </row>
    <row r="5" spans="1:8">
      <c r="A5" s="10">
        <v>22</v>
      </c>
      <c r="B5" s="11">
        <v>1</v>
      </c>
      <c r="C5" s="12">
        <v>12</v>
      </c>
      <c r="D5" s="108">
        <f t="shared" si="0"/>
        <v>-1055</v>
      </c>
      <c r="E5" s="13"/>
      <c r="F5" s="14"/>
      <c r="H5" s="43" t="s">
        <v>246</v>
      </c>
    </row>
    <row r="6" spans="1:8">
      <c r="A6" s="10">
        <v>3</v>
      </c>
      <c r="B6" s="11">
        <v>45</v>
      </c>
      <c r="C6" s="12">
        <v>1</v>
      </c>
      <c r="D6" s="108">
        <f t="shared" si="0"/>
        <v>2013</v>
      </c>
      <c r="E6" s="13">
        <f t="shared" si="1"/>
        <v>-2.2255241941814791E-2</v>
      </c>
      <c r="F6" s="14">
        <f t="shared" si="2"/>
        <v>-14.977744758058185</v>
      </c>
    </row>
    <row r="7" spans="1:8">
      <c r="A7" s="10">
        <v>4</v>
      </c>
      <c r="B7" s="11">
        <v>-24</v>
      </c>
      <c r="C7" s="12">
        <v>9</v>
      </c>
      <c r="D7" s="108">
        <f t="shared" si="0"/>
        <v>432</v>
      </c>
      <c r="E7" s="13" t="s">
        <v>0</v>
      </c>
      <c r="F7" s="14" t="s">
        <v>0</v>
      </c>
    </row>
    <row r="8" spans="1:8">
      <c r="A8" s="10">
        <v>-10</v>
      </c>
      <c r="B8" s="11">
        <v>6</v>
      </c>
      <c r="C8" s="12">
        <v>5</v>
      </c>
      <c r="D8" s="108">
        <f t="shared" si="0"/>
        <v>236</v>
      </c>
      <c r="E8" s="13" t="s">
        <v>0</v>
      </c>
      <c r="F8" s="14" t="s">
        <v>0</v>
      </c>
    </row>
    <row r="9" spans="1:8">
      <c r="A9" s="10">
        <v>-4</v>
      </c>
      <c r="B9" s="11">
        <v>-2</v>
      </c>
      <c r="C9" s="12">
        <v>5</v>
      </c>
      <c r="D9" s="108">
        <f t="shared" si="0"/>
        <v>84</v>
      </c>
      <c r="E9" s="13" t="s">
        <v>0</v>
      </c>
      <c r="F9" s="14" t="s">
        <v>0</v>
      </c>
    </row>
    <row r="10" spans="1:8">
      <c r="A10" s="10">
        <v>49</v>
      </c>
      <c r="B10" s="11">
        <v>42</v>
      </c>
      <c r="C10" s="12">
        <v>9</v>
      </c>
      <c r="D10" s="108">
        <f t="shared" si="0"/>
        <v>0</v>
      </c>
      <c r="E10" s="13" t="s">
        <v>0</v>
      </c>
      <c r="F10" s="14" t="s">
        <v>0</v>
      </c>
    </row>
    <row r="11" spans="1:8">
      <c r="A11" s="10">
        <v>4</v>
      </c>
      <c r="B11" s="11">
        <v>5</v>
      </c>
      <c r="C11" s="12">
        <v>6</v>
      </c>
      <c r="D11" s="108">
        <f t="shared" si="0"/>
        <v>-71</v>
      </c>
      <c r="E11" s="13" t="s">
        <v>0</v>
      </c>
      <c r="F11" s="14" t="s">
        <v>0</v>
      </c>
    </row>
    <row r="12" spans="1:8">
      <c r="A12" s="10">
        <v>2</v>
      </c>
      <c r="B12" s="11">
        <v>43</v>
      </c>
      <c r="C12" s="12">
        <v>2</v>
      </c>
      <c r="D12" s="108">
        <f t="shared" si="0"/>
        <v>1833</v>
      </c>
      <c r="E12" s="13" t="s">
        <v>0</v>
      </c>
      <c r="F12" s="14" t="s">
        <v>0</v>
      </c>
    </row>
    <row r="13" spans="1:8">
      <c r="A13" s="10">
        <v>3</v>
      </c>
      <c r="B13" s="11">
        <v>-3</v>
      </c>
      <c r="C13" s="12">
        <v>-2</v>
      </c>
      <c r="D13" s="108">
        <f t="shared" si="0"/>
        <v>33</v>
      </c>
      <c r="E13" s="13" t="s">
        <v>0</v>
      </c>
      <c r="F13" s="14" t="s">
        <v>0</v>
      </c>
    </row>
    <row r="14" spans="1:8">
      <c r="A14" s="10">
        <v>4</v>
      </c>
      <c r="B14" s="11">
        <v>3</v>
      </c>
      <c r="C14" s="12">
        <v>1</v>
      </c>
      <c r="D14" s="108">
        <f t="shared" si="0"/>
        <v>-7</v>
      </c>
      <c r="E14" s="13" t="s">
        <v>0</v>
      </c>
      <c r="F14" s="14" t="s">
        <v>0</v>
      </c>
    </row>
    <row r="15" spans="1:8">
      <c r="A15" s="10">
        <v>1</v>
      </c>
      <c r="B15" s="11">
        <v>10</v>
      </c>
      <c r="C15" s="12">
        <v>25</v>
      </c>
      <c r="D15" s="108">
        <f t="shared" si="0"/>
        <v>0</v>
      </c>
      <c r="E15" s="13" t="s">
        <v>0</v>
      </c>
      <c r="F15" s="14" t="s">
        <v>0</v>
      </c>
    </row>
    <row r="16" spans="1:8">
      <c r="A16" s="10">
        <v>7</v>
      </c>
      <c r="B16" s="11">
        <v>27</v>
      </c>
      <c r="C16" s="12">
        <v>7</v>
      </c>
      <c r="D16" s="108">
        <f t="shared" si="0"/>
        <v>533</v>
      </c>
      <c r="E16" s="13" t="s">
        <v>0</v>
      </c>
      <c r="F16" s="14" t="s">
        <v>0</v>
      </c>
    </row>
    <row r="17" spans="1:6">
      <c r="A17" s="10">
        <v>4</v>
      </c>
      <c r="B17" s="11">
        <v>1</v>
      </c>
      <c r="C17" s="12">
        <v>-20</v>
      </c>
      <c r="D17" s="108">
        <f t="shared" si="0"/>
        <v>321</v>
      </c>
      <c r="E17" s="13" t="s">
        <v>0</v>
      </c>
      <c r="F17" s="14" t="s">
        <v>0</v>
      </c>
    </row>
    <row r="18" spans="1:6">
      <c r="A18" s="10">
        <v>-10</v>
      </c>
      <c r="B18" s="11">
        <v>-2</v>
      </c>
      <c r="C18" s="12">
        <v>3</v>
      </c>
      <c r="D18" s="108">
        <f t="shared" si="0"/>
        <v>124</v>
      </c>
      <c r="E18" s="13" t="s">
        <v>0</v>
      </c>
      <c r="F18" s="14" t="s">
        <v>0</v>
      </c>
    </row>
    <row r="19" spans="1:6">
      <c r="A19" s="10">
        <v>3</v>
      </c>
      <c r="B19" s="11">
        <v>2</v>
      </c>
      <c r="C19" s="12">
        <v>-11</v>
      </c>
      <c r="D19" s="108">
        <f t="shared" si="0"/>
        <v>136</v>
      </c>
      <c r="E19" s="13" t="s">
        <v>0</v>
      </c>
      <c r="F19" s="14" t="s">
        <v>0</v>
      </c>
    </row>
    <row r="20" spans="1:6">
      <c r="A20" s="10">
        <v>3</v>
      </c>
      <c r="B20" s="11">
        <v>4</v>
      </c>
      <c r="C20" s="12">
        <v>0</v>
      </c>
      <c r="D20" s="108">
        <f t="shared" si="0"/>
        <v>16</v>
      </c>
      <c r="E20" s="13" t="s">
        <v>0</v>
      </c>
      <c r="F20" s="14" t="s">
        <v>0</v>
      </c>
    </row>
    <row r="21" spans="1:6">
      <c r="A21" s="10">
        <v>2</v>
      </c>
      <c r="B21" s="11">
        <v>0</v>
      </c>
      <c r="C21" s="12">
        <v>0</v>
      </c>
      <c r="D21" s="108">
        <f t="shared" si="0"/>
        <v>0</v>
      </c>
      <c r="E21" s="13" t="s">
        <v>0</v>
      </c>
      <c r="F21" s="14" t="s">
        <v>0</v>
      </c>
    </row>
    <row r="22" spans="1:6">
      <c r="A22" s="10">
        <v>-3</v>
      </c>
      <c r="B22" s="11">
        <v>0</v>
      </c>
      <c r="C22" s="12">
        <v>4</v>
      </c>
      <c r="D22" s="108">
        <f t="shared" si="0"/>
        <v>48</v>
      </c>
      <c r="E22" s="13" t="s">
        <v>0</v>
      </c>
      <c r="F22" s="14" t="s">
        <v>0</v>
      </c>
    </row>
    <row r="23" spans="1:6">
      <c r="A23" s="10">
        <v>5</v>
      </c>
      <c r="B23" s="11">
        <v>66</v>
      </c>
      <c r="C23" s="12">
        <v>2</v>
      </c>
      <c r="D23" s="108">
        <f t="shared" si="0"/>
        <v>4316</v>
      </c>
      <c r="E23" s="13" t="s">
        <v>0</v>
      </c>
      <c r="F23" s="14" t="s">
        <v>0</v>
      </c>
    </row>
    <row r="24" spans="1:6">
      <c r="A24" s="10">
        <v>-2</v>
      </c>
      <c r="B24" s="11">
        <v>-12</v>
      </c>
      <c r="C24" s="12">
        <v>1</v>
      </c>
      <c r="D24" s="108">
        <f t="shared" si="0"/>
        <v>152</v>
      </c>
      <c r="E24" s="13" t="s">
        <v>0</v>
      </c>
      <c r="F24" s="14" t="s">
        <v>0</v>
      </c>
    </row>
    <row r="25" spans="1:6">
      <c r="A25" s="10">
        <v>5</v>
      </c>
      <c r="B25" s="11">
        <v>3</v>
      </c>
      <c r="C25" s="12">
        <v>-10</v>
      </c>
      <c r="D25" s="108">
        <f t="shared" si="0"/>
        <v>209</v>
      </c>
      <c r="E25" s="13" t="s">
        <v>0</v>
      </c>
      <c r="F25" s="14" t="s">
        <v>0</v>
      </c>
    </row>
    <row r="26" spans="1:6">
      <c r="A26" s="10">
        <v>4</v>
      </c>
      <c r="B26" s="11">
        <v>4</v>
      </c>
      <c r="C26" s="12">
        <v>4</v>
      </c>
      <c r="D26" s="108">
        <f t="shared" si="0"/>
        <v>-48</v>
      </c>
      <c r="E26" s="13" t="s">
        <v>0</v>
      </c>
      <c r="F26" s="14" t="s">
        <v>0</v>
      </c>
    </row>
    <row r="27" spans="1:6">
      <c r="A27" s="10">
        <v>6</v>
      </c>
      <c r="B27" s="11">
        <v>3</v>
      </c>
      <c r="C27" s="12">
        <v>-12</v>
      </c>
      <c r="D27" s="108">
        <f t="shared" si="0"/>
        <v>297</v>
      </c>
      <c r="E27" s="13" t="s">
        <v>0</v>
      </c>
      <c r="F27" s="14" t="s">
        <v>0</v>
      </c>
    </row>
    <row r="28" spans="1:6">
      <c r="A28" s="10">
        <v>7</v>
      </c>
      <c r="B28" s="11">
        <v>6</v>
      </c>
      <c r="C28" s="12">
        <v>2</v>
      </c>
      <c r="D28" s="108">
        <f t="shared" si="0"/>
        <v>-20</v>
      </c>
      <c r="E28" s="13" t="s">
        <v>0</v>
      </c>
      <c r="F28" s="14" t="s">
        <v>0</v>
      </c>
    </row>
    <row r="29" spans="1:6">
      <c r="A29" s="10">
        <v>16</v>
      </c>
      <c r="B29" s="11">
        <v>8</v>
      </c>
      <c r="C29" s="12">
        <v>1</v>
      </c>
      <c r="D29" s="108">
        <f t="shared" si="0"/>
        <v>0</v>
      </c>
      <c r="E29" s="13" t="s">
        <v>0</v>
      </c>
      <c r="F29" s="14" t="s">
        <v>0</v>
      </c>
    </row>
    <row r="30" spans="1:6">
      <c r="A30" s="10">
        <v>-9</v>
      </c>
      <c r="B30" s="11">
        <v>7</v>
      </c>
      <c r="C30" s="12">
        <v>5</v>
      </c>
      <c r="D30" s="108">
        <f t="shared" si="0"/>
        <v>229</v>
      </c>
      <c r="E30" s="13" t="s">
        <v>0</v>
      </c>
      <c r="F30" s="14" t="s">
        <v>0</v>
      </c>
    </row>
    <row r="31" spans="1:6">
      <c r="A31" s="10">
        <v>-9</v>
      </c>
      <c r="B31" s="11">
        <v>-7</v>
      </c>
      <c r="C31" s="12">
        <v>-6</v>
      </c>
      <c r="D31" s="108">
        <f t="shared" si="0"/>
        <v>-167</v>
      </c>
      <c r="E31" s="13" t="s">
        <v>0</v>
      </c>
      <c r="F31" s="14" t="s">
        <v>0</v>
      </c>
    </row>
    <row r="32" spans="1:6">
      <c r="A32" s="10">
        <v>3</v>
      </c>
      <c r="B32" s="11">
        <v>2</v>
      </c>
      <c r="C32" s="12">
        <v>1</v>
      </c>
      <c r="D32" s="108">
        <f t="shared" si="0"/>
        <v>-8</v>
      </c>
      <c r="E32" s="13" t="s">
        <v>0</v>
      </c>
      <c r="F32" s="14" t="s">
        <v>0</v>
      </c>
    </row>
    <row r="33" spans="1:6">
      <c r="A33" s="10">
        <v>9</v>
      </c>
      <c r="B33" s="11">
        <v>60</v>
      </c>
      <c r="C33" s="12">
        <v>100</v>
      </c>
      <c r="D33" s="108">
        <f t="shared" si="0"/>
        <v>0</v>
      </c>
      <c r="E33" s="13" t="s">
        <v>0</v>
      </c>
      <c r="F33" s="14" t="s">
        <v>0</v>
      </c>
    </row>
    <row r="34" spans="1:6">
      <c r="A34" s="15">
        <v>7</v>
      </c>
      <c r="B34" s="16">
        <v>4</v>
      </c>
      <c r="C34" s="17">
        <v>3</v>
      </c>
      <c r="D34" s="109">
        <f t="shared" si="0"/>
        <v>-68</v>
      </c>
      <c r="E34" s="41" t="s">
        <v>0</v>
      </c>
      <c r="F34" s="42" t="s">
        <v>0</v>
      </c>
    </row>
  </sheetData>
  <mergeCells count="1">
    <mergeCell ref="A1:F1"/>
  </mergeCells>
  <pageMargins left="0.7" right="0.7" top="0.75" bottom="0.75" header="0.3" footer="0.3"/>
  <pageSetup paperSize="9" orientation="portrait" horizontalDpi="4294967293" verticalDpi="0" r:id="rId1"/>
  <drawing r:id="rId2"/>
  <legacyDrawing r:id="rId3"/>
  <oleObjects>
    <oleObject progId="Equation.3" shapeId="8193" r:id="rId4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7</vt:i4>
      </vt:variant>
    </vt:vector>
  </HeadingPairs>
  <TitlesOfParts>
    <vt:vector size="7" baseType="lpstr">
      <vt:lpstr>1 Олімпіада</vt:lpstr>
      <vt:lpstr>2 Семикласники</vt:lpstr>
      <vt:lpstr>3 Кв.рівняння</vt:lpstr>
      <vt:lpstr>4 Шахти</vt:lpstr>
      <vt:lpstr>5 Кури</vt:lpstr>
      <vt:lpstr>6 Трикутники</vt:lpstr>
      <vt:lpstr>7 Кв.рівняння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2013-12-08T12:15:43Z</dcterms:created>
  <dcterms:modified xsi:type="dcterms:W3CDTF">2024-07-12T05:03:05Z</dcterms:modified>
</cp:coreProperties>
</file>