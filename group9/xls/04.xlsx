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embeddings/oleObject2.bin" ContentType="application/vnd.openxmlformats-officedocument.oleObject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group9\xls\"/>
    </mc:Choice>
  </mc:AlternateContent>
  <xr:revisionPtr revIDLastSave="0" documentId="13_ncr:1_{1E717B5B-D129-4D15-AA84-476CF0FE36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 Шахти" sheetId="1" r:id="rId1"/>
    <sheet name="2 Олімпіада" sheetId="2" r:id="rId2"/>
    <sheet name="3 Оцінки" sheetId="3" r:id="rId3"/>
    <sheet name="4 Гроші" sheetId="4" r:id="rId4"/>
    <sheet name="5 Канцтовари" sheetId="5" r:id="rId5"/>
    <sheet name="6 Трикутники" sheetId="6" r:id="rId6"/>
    <sheet name="7 Куля" sheetId="7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D8" i="6"/>
  <c r="E8" i="6"/>
  <c r="F8" i="6"/>
  <c r="G8" i="6"/>
  <c r="H8" i="6"/>
  <c r="I8" i="6"/>
  <c r="J8" i="6"/>
  <c r="B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stepler</author>
  </authors>
  <commentList>
    <comment ref="I29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56,0</t>
        </r>
      </text>
    </comment>
    <comment ref="I30" authorId="0" shapeId="0" xr:uid="{00000000-0006-0000-0400-000002000000}">
      <text>
        <r>
          <rPr>
            <b/>
            <sz val="9"/>
            <color indexed="81"/>
            <rFont val="Tahoma"/>
            <charset val="1"/>
          </rPr>
          <t>145,89 грн</t>
        </r>
      </text>
    </comment>
    <comment ref="I31" authorId="0" shapeId="0" xr:uid="{00000000-0006-0000-0400-000003000000}">
      <text>
        <r>
          <rPr>
            <b/>
            <sz val="9"/>
            <color indexed="81"/>
            <rFont val="Tahoma"/>
            <charset val="1"/>
          </rPr>
          <t>2</t>
        </r>
      </text>
    </comment>
    <comment ref="I32" authorId="0" shapeId="0" xr:uid="{00000000-0006-0000-0400-000004000000}">
      <text>
        <r>
          <rPr>
            <b/>
            <sz val="9"/>
            <color indexed="81"/>
            <rFont val="Tahoma"/>
            <charset val="1"/>
          </rPr>
          <t>1 045,40 грн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stepler</author>
  </authors>
  <commentList>
    <comment ref="G7" authorId="0" shapeId="0" xr:uid="{00000000-0006-0000-0500-000001000000}">
      <text>
        <r>
          <rPr>
            <b/>
            <sz val="9"/>
            <color indexed="81"/>
            <rFont val="Tahoma"/>
            <charset val="1"/>
          </rPr>
          <t>12</t>
        </r>
      </text>
    </comment>
    <comment ref="G8" authorId="0" shapeId="0" xr:uid="{00000000-0006-0000-0500-000002000000}">
      <text>
        <r>
          <rPr>
            <b/>
            <sz val="9"/>
            <color indexed="81"/>
            <rFont val="Tahoma"/>
            <charset val="1"/>
          </rPr>
          <t>24</t>
        </r>
      </text>
    </comment>
    <comment ref="G9" authorId="0" shapeId="0" xr:uid="{00000000-0006-0000-0500-000003000000}">
      <text>
        <r>
          <rPr>
            <b/>
            <sz val="9"/>
            <color indexed="81"/>
            <rFont val="Tahoma"/>
            <charset val="1"/>
          </rPr>
          <t>7,21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stepler</author>
  </authors>
  <commentList>
    <comment ref="C7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>4,501</t>
        </r>
      </text>
    </comment>
    <comment ref="D7" authorId="0" shapeId="0" xr:uid="{00000000-0006-0000-0600-000002000000}">
      <text>
        <r>
          <rPr>
            <b/>
            <sz val="9"/>
            <color indexed="81"/>
            <rFont val="Tahoma"/>
            <charset val="1"/>
          </rPr>
          <t>0,382</t>
        </r>
      </text>
    </comment>
  </commentList>
</comments>
</file>

<file path=xl/sharedStrings.xml><?xml version="1.0" encoding="utf-8"?>
<sst xmlns="http://schemas.openxmlformats.org/spreadsheetml/2006/main" count="704" uniqueCount="275">
  <si>
    <t>Виконання плану по видобутку вугілля шахтами ДВАТ «Львіввугілля» за 2002 рік</t>
  </si>
  <si>
    <t>№</t>
  </si>
  <si>
    <t>Шахта</t>
  </si>
  <si>
    <t>I  квартал</t>
  </si>
  <si>
    <t>II  квартал</t>
  </si>
  <si>
    <t>III  квартал</t>
  </si>
  <si>
    <t>IV  квартал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</si>
  <si>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</si>
  <si>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</si>
  <si>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</si>
  <si>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</si>
  <si>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</si>
  <si>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</si>
  <si>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</si>
  <si>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</si>
  <si>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</si>
  <si>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</si>
  <si>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</si>
  <si>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</si>
  <si>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Всього:</t>
  </si>
  <si>
    <t>№1 "ВМ"</t>
  </si>
  <si>
    <t>«Великомостівська»</t>
  </si>
  <si>
    <t>?</t>
  </si>
  <si>
    <t>№2 "ВМ"</t>
  </si>
  <si>
    <t>«Бендюзька»</t>
  </si>
  <si>
    <t>№3 "ВМ"</t>
  </si>
  <si>
    <t>«Межирічанська»</t>
  </si>
  <si>
    <t>№4 "ВМ"</t>
  </si>
  <si>
    <t>«Відродження»</t>
  </si>
  <si>
    <t>№6 "ВМ"</t>
  </si>
  <si>
    <t>«Лісова»</t>
  </si>
  <si>
    <t>№7 "ВМ"</t>
  </si>
  <si>
    <t>«Зарічна»</t>
  </si>
  <si>
    <t>№8 "ВМ"</t>
  </si>
  <si>
    <t>«Візейська»</t>
  </si>
  <si>
    <t>№9 "ВМ"</t>
  </si>
  <si>
    <t>«Надія»</t>
  </si>
  <si>
    <t>№10 "ВМ"</t>
  </si>
  <si>
    <t>«Степова»</t>
  </si>
  <si>
    <t>№2 "ЧГ"</t>
  </si>
  <si>
    <t>«Червоноградська»</t>
  </si>
  <si>
    <t>Учасники Інтернет-олімпіади</t>
  </si>
  <si>
    <t>Прізвище</t>
  </si>
  <si>
    <t>Ім'я</t>
  </si>
  <si>
    <t>Вік</t>
  </si>
  <si>
    <t>Зріст</t>
  </si>
  <si>
    <t>Стать</t>
  </si>
  <si>
    <t>Колір очей</t>
  </si>
  <si>
    <t>Захоплення</t>
  </si>
  <si>
    <t>Вік найстаршого учня</t>
  </si>
  <si>
    <t>Середній зріст учнів</t>
  </si>
  <si>
    <t>Кількість учнів</t>
  </si>
  <si>
    <r>
      <t xml:space="preserve">Кількість,
які </t>
    </r>
    <r>
      <rPr>
        <b/>
        <sz val="11"/>
        <rFont val="Calibri"/>
        <family val="2"/>
        <charset val="204"/>
        <scheme val="minor"/>
      </rPr>
      <t>мають</t>
    </r>
    <r>
      <rPr>
        <sz val="11"/>
        <rFont val="Calibri"/>
        <family val="2"/>
        <charset val="204"/>
        <scheme val="minor"/>
      </rPr>
      <t xml:space="preserve"> захоплення</t>
    </r>
  </si>
  <si>
    <t>Балєєв</t>
  </si>
  <si>
    <t>Сергій</t>
  </si>
  <si>
    <t>хлопець</t>
  </si>
  <si>
    <t>сірі</t>
  </si>
  <si>
    <t>танці</t>
  </si>
  <si>
    <t>Білоцький</t>
  </si>
  <si>
    <t>Володимир</t>
  </si>
  <si>
    <t>карі</t>
  </si>
  <si>
    <t>теніс</t>
  </si>
  <si>
    <t>Бочаров</t>
  </si>
  <si>
    <t>Ігор</t>
  </si>
  <si>
    <t>музика</t>
  </si>
  <si>
    <t xml:space="preserve">Бронштейн </t>
  </si>
  <si>
    <t>Дмитро</t>
  </si>
  <si>
    <t>Василенко</t>
  </si>
  <si>
    <t>Борис</t>
  </si>
  <si>
    <t>зелені</t>
  </si>
  <si>
    <t>Вербівська</t>
  </si>
  <si>
    <t>Вікторія</t>
  </si>
  <si>
    <t>дівчина</t>
  </si>
  <si>
    <t>Верещага</t>
  </si>
  <si>
    <t>Надія</t>
  </si>
  <si>
    <t>іноземна</t>
  </si>
  <si>
    <t>Веткіна</t>
  </si>
  <si>
    <t>Валерія</t>
  </si>
  <si>
    <t>блакитні</t>
  </si>
  <si>
    <t>Вітліський</t>
  </si>
  <si>
    <t>Євген</t>
  </si>
  <si>
    <t>Владимиренко</t>
  </si>
  <si>
    <t>Федір</t>
  </si>
  <si>
    <t>Вознюк</t>
  </si>
  <si>
    <t>Микола</t>
  </si>
  <si>
    <t>Галушко</t>
  </si>
  <si>
    <t>Гаркава</t>
  </si>
  <si>
    <t>Оксана</t>
  </si>
  <si>
    <t>боротьба</t>
  </si>
  <si>
    <t>Гасич</t>
  </si>
  <si>
    <t>Лілія</t>
  </si>
  <si>
    <t>Голіков</t>
  </si>
  <si>
    <t>Олександр</t>
  </si>
  <si>
    <t>Головко</t>
  </si>
  <si>
    <t>Павло</t>
  </si>
  <si>
    <t>футбол</t>
  </si>
  <si>
    <t>Горбов</t>
  </si>
  <si>
    <t>Олексій</t>
  </si>
  <si>
    <t>Грищенко</t>
  </si>
  <si>
    <t>Гурченко</t>
  </si>
  <si>
    <t>Марина</t>
  </si>
  <si>
    <t>Даниленко</t>
  </si>
  <si>
    <t>Олег</t>
  </si>
  <si>
    <t>Олена</t>
  </si>
  <si>
    <t>Тарас</t>
  </si>
  <si>
    <t>Дементієвська</t>
  </si>
  <si>
    <t>Ніна</t>
  </si>
  <si>
    <t>Деміденко</t>
  </si>
  <si>
    <t>Денисенко</t>
  </si>
  <si>
    <t>Вадим</t>
  </si>
  <si>
    <t>Дрозд</t>
  </si>
  <si>
    <t>Андрій</t>
  </si>
  <si>
    <t>Дудко</t>
  </si>
  <si>
    <t>Максим</t>
  </si>
  <si>
    <t>Євтух</t>
  </si>
  <si>
    <t>Жаборовська</t>
  </si>
  <si>
    <t>Ольга</t>
  </si>
  <si>
    <t>Зленко</t>
  </si>
  <si>
    <t>Анатолій</t>
  </si>
  <si>
    <t>Іваненко</t>
  </si>
  <si>
    <t>Іваницька</t>
  </si>
  <si>
    <t>Світлана</t>
  </si>
  <si>
    <t>Іванов</t>
  </si>
  <si>
    <t>Кедреновський</t>
  </si>
  <si>
    <t>Колеснікова</t>
  </si>
  <si>
    <t>Юлія</t>
  </si>
  <si>
    <t>Комендо</t>
  </si>
  <si>
    <t>Конєв</t>
  </si>
  <si>
    <t>Красна</t>
  </si>
  <si>
    <t>Круглий</t>
  </si>
  <si>
    <t>Крута</t>
  </si>
  <si>
    <t>Христина</t>
  </si>
  <si>
    <t>Куріс</t>
  </si>
  <si>
    <t>Лагур</t>
  </si>
  <si>
    <t>Любченко</t>
  </si>
  <si>
    <t>Максимов</t>
  </si>
  <si>
    <t>Михайло</t>
  </si>
  <si>
    <t>Малич</t>
  </si>
  <si>
    <t>Лідія</t>
  </si>
  <si>
    <t>Марченко</t>
  </si>
  <si>
    <t>Артем</t>
  </si>
  <si>
    <t>Матвієнко</t>
  </si>
  <si>
    <t>Махайловський</t>
  </si>
  <si>
    <t>Віктор</t>
  </si>
  <si>
    <t xml:space="preserve">Мейтін </t>
  </si>
  <si>
    <t>Мельниченко</t>
  </si>
  <si>
    <t>Наталія</t>
  </si>
  <si>
    <t>Міронова</t>
  </si>
  <si>
    <t>Мішалова</t>
  </si>
  <si>
    <t>Ганна</t>
  </si>
  <si>
    <t>Налескін</t>
  </si>
  <si>
    <t>Однопозова</t>
  </si>
  <si>
    <t>Отто</t>
  </si>
  <si>
    <t>Георгій</t>
  </si>
  <si>
    <t>Павленко</t>
  </si>
  <si>
    <t>Палажченко</t>
  </si>
  <si>
    <t>Клим</t>
  </si>
  <si>
    <t>Петрененко</t>
  </si>
  <si>
    <t>Петренко</t>
  </si>
  <si>
    <t>Петров</t>
  </si>
  <si>
    <t>Петрова</t>
  </si>
  <si>
    <t>Пісков</t>
  </si>
  <si>
    <t>Василь</t>
  </si>
  <si>
    <t>Поденков</t>
  </si>
  <si>
    <t>Полонський</t>
  </si>
  <si>
    <t>Григорій</t>
  </si>
  <si>
    <t>Поноженко</t>
  </si>
  <si>
    <t>Приходько</t>
  </si>
  <si>
    <t>Станіслав</t>
  </si>
  <si>
    <t>Продан</t>
  </si>
  <si>
    <t>Олександра</t>
  </si>
  <si>
    <t>Рамський</t>
  </si>
  <si>
    <t>Романюк</t>
  </si>
  <si>
    <t>Юрій</t>
  </si>
  <si>
    <t>Русаліна</t>
  </si>
  <si>
    <t>Катерина</t>
  </si>
  <si>
    <t>Свірін</t>
  </si>
  <si>
    <t>Богдан</t>
  </si>
  <si>
    <t>Сергієнко</t>
  </si>
  <si>
    <t>Сиротинська</t>
  </si>
  <si>
    <t>Січкар</t>
  </si>
  <si>
    <t>Слабоцький</t>
  </si>
  <si>
    <t>Сметанін</t>
  </si>
  <si>
    <t>Антон</t>
  </si>
  <si>
    <t>Соловйова</t>
  </si>
  <si>
    <t>Тетяна</t>
  </si>
  <si>
    <t>Солок</t>
  </si>
  <si>
    <t>Інна</t>
  </si>
  <si>
    <t>Сохацька</t>
  </si>
  <si>
    <t>Степула</t>
  </si>
  <si>
    <t>Стефанюк</t>
  </si>
  <si>
    <t>Супрун</t>
  </si>
  <si>
    <t>Таран</t>
  </si>
  <si>
    <t>Тарасов</t>
  </si>
  <si>
    <t>Іван</t>
  </si>
  <si>
    <t>Тарасова</t>
  </si>
  <si>
    <t>Терехін</t>
  </si>
  <si>
    <t>Тихонов</t>
  </si>
  <si>
    <t>Роман</t>
  </si>
  <si>
    <t>Тімакова</t>
  </si>
  <si>
    <t>Марія</t>
  </si>
  <si>
    <t>Толмачов</t>
  </si>
  <si>
    <t>Валерій</t>
  </si>
  <si>
    <t>Файзієв</t>
  </si>
  <si>
    <t>Федорченко</t>
  </si>
  <si>
    <t>Хорсун</t>
  </si>
  <si>
    <t>Чесакова</t>
  </si>
  <si>
    <t>Шаповалова</t>
  </si>
  <si>
    <t>Шевчук</t>
  </si>
  <si>
    <t>Ширяєв</t>
  </si>
  <si>
    <t>Шриг</t>
  </si>
  <si>
    <t>Янке</t>
  </si>
  <si>
    <t>Навчальні досягнення учнів</t>
  </si>
  <si>
    <t>Біологія</t>
  </si>
  <si>
    <t>Фізика</t>
  </si>
  <si>
    <t>Інформатика</t>
  </si>
  <si>
    <t>Укр. літ</t>
  </si>
  <si>
    <t>Історія</t>
  </si>
  <si>
    <t>Середня оцінка</t>
  </si>
  <si>
    <t>Бондар В.</t>
  </si>
  <si>
    <t>Гора А.</t>
  </si>
  <si>
    <t>Кароль І.</t>
  </si>
  <si>
    <t>Мороз К.</t>
  </si>
  <si>
    <t>Стецюк П.</t>
  </si>
  <si>
    <t>Середня оцінка:</t>
  </si>
  <si>
    <t>Працівник</t>
  </si>
  <si>
    <t>Дробот</t>
  </si>
  <si>
    <t>Колима</t>
  </si>
  <si>
    <t>Кречківський</t>
  </si>
  <si>
    <t>Степанов</t>
  </si>
  <si>
    <t>Карпів</t>
  </si>
  <si>
    <t>Коробкін</t>
  </si>
  <si>
    <t>Труш</t>
  </si>
  <si>
    <t>Загальна сума</t>
  </si>
  <si>
    <t>Дмитрів</t>
  </si>
  <si>
    <t>Лавров</t>
  </si>
  <si>
    <t>Скрябін</t>
  </si>
  <si>
    <t>Нечипор</t>
  </si>
  <si>
    <t>Добош</t>
  </si>
  <si>
    <t>Продаж канцтоварів магазином «АГА»</t>
  </si>
  <si>
    <t>Товар</t>
  </si>
  <si>
    <t>Місяць</t>
  </si>
  <si>
    <t>Кількість</t>
  </si>
  <si>
    <t>Сума</t>
  </si>
  <si>
    <t>Ручка</t>
  </si>
  <si>
    <t>Олівець</t>
  </si>
  <si>
    <t>Зошит</t>
  </si>
  <si>
    <r>
      <t xml:space="preserve">Середня </t>
    </r>
    <r>
      <rPr>
        <sz val="11"/>
        <color rgb="FFFF0000"/>
        <rFont val="Calibri"/>
        <family val="2"/>
        <charset val="204"/>
        <scheme val="minor"/>
      </rPr>
      <t>кількість</t>
    </r>
    <r>
      <rPr>
        <sz val="11"/>
        <rFont val="Calibri"/>
        <family val="2"/>
        <charset val="204"/>
        <scheme val="minor"/>
      </rPr>
      <t xml:space="preserve"> канцтоварів у </t>
    </r>
    <r>
      <rPr>
        <b/>
        <sz val="11"/>
        <rFont val="Calibri"/>
        <family val="2"/>
        <charset val="204"/>
        <scheme val="minor"/>
      </rPr>
      <t>жовтні</t>
    </r>
  </si>
  <si>
    <r>
      <t xml:space="preserve">Середня </t>
    </r>
    <r>
      <rPr>
        <sz val="11"/>
        <color rgb="FFFF0000"/>
        <rFont val="Calibri"/>
        <family val="2"/>
        <charset val="204"/>
        <scheme val="minor"/>
      </rPr>
      <t>сума</t>
    </r>
    <r>
      <rPr>
        <sz val="11"/>
        <rFont val="Calibri"/>
        <family val="2"/>
        <charset val="204"/>
        <scheme val="minor"/>
      </rPr>
      <t xml:space="preserve"> продажу канцтоварів у </t>
    </r>
    <r>
      <rPr>
        <b/>
        <sz val="11"/>
        <rFont val="Calibri"/>
        <family val="2"/>
        <charset val="204"/>
        <scheme val="minor"/>
      </rPr>
      <t>серпні</t>
    </r>
  </si>
  <si>
    <r>
      <t xml:space="preserve">Найменша </t>
    </r>
    <r>
      <rPr>
        <sz val="11"/>
        <color rgb="FFFF0000"/>
        <rFont val="Calibri"/>
        <family val="2"/>
        <charset val="204"/>
        <scheme val="minor"/>
      </rPr>
      <t>кількість</t>
    </r>
    <r>
      <rPr>
        <sz val="11"/>
        <rFont val="Calibri"/>
        <family val="2"/>
        <charset val="204"/>
        <scheme val="minor"/>
      </rPr>
      <t xml:space="preserve"> за </t>
    </r>
    <r>
      <rPr>
        <b/>
        <sz val="11"/>
        <rFont val="Calibri"/>
        <family val="2"/>
        <charset val="204"/>
        <scheme val="minor"/>
      </rPr>
      <t>серпень-вересень</t>
    </r>
  </si>
  <si>
    <t>Параметри трикутників</t>
  </si>
  <si>
    <t>Сторони</t>
  </si>
  <si>
    <t>Трикутник 1</t>
  </si>
  <si>
    <t>Трикутник 2</t>
  </si>
  <si>
    <t>Трикутник 3</t>
  </si>
  <si>
    <t>Трикутник 4</t>
  </si>
  <si>
    <t>Трикутник 5</t>
  </si>
  <si>
    <t>Трикутник 6</t>
  </si>
  <si>
    <t>Трикутник 7</t>
  </si>
  <si>
    <t>Трикутник 8</t>
  </si>
  <si>
    <t>Трикутник 9</t>
  </si>
  <si>
    <t>a  =</t>
  </si>
  <si>
    <t>b  =</t>
  </si>
  <si>
    <t>c  =</t>
  </si>
  <si>
    <r>
      <t xml:space="preserve">Півпериметр,   </t>
    </r>
    <r>
      <rPr>
        <b/>
        <sz val="12"/>
        <rFont val="Calibri"/>
        <family val="2"/>
        <charset val="204"/>
        <scheme val="minor"/>
      </rPr>
      <t>p</t>
    </r>
  </si>
  <si>
    <r>
      <rPr>
        <sz val="12"/>
        <rFont val="Calibri"/>
        <family val="2"/>
        <charset val="204"/>
        <scheme val="minor"/>
      </rPr>
      <t xml:space="preserve">Площа,   </t>
    </r>
    <r>
      <rPr>
        <b/>
        <sz val="12"/>
        <rFont val="Calibri"/>
        <family val="2"/>
        <charset val="204"/>
        <scheme val="minor"/>
      </rPr>
      <t>S</t>
    </r>
  </si>
  <si>
    <r>
      <t xml:space="preserve">Медіана, проведена з вершини А,   </t>
    </r>
    <r>
      <rPr>
        <b/>
        <sz val="12"/>
        <rFont val="Calibri"/>
        <family val="2"/>
        <charset val="204"/>
        <scheme val="minor"/>
      </rPr>
      <t>m</t>
    </r>
  </si>
  <si>
    <t>Задача</t>
  </si>
  <si>
    <r>
      <t xml:space="preserve">Якого найбільшого радіуса кулю можна зробити з прямокутної бляхи розміру </t>
    </r>
    <r>
      <rPr>
        <b/>
        <sz val="12"/>
        <rFont val="Calibri"/>
        <family val="2"/>
        <charset val="204"/>
        <scheme val="minor"/>
      </rPr>
      <t xml:space="preserve">a </t>
    </r>
    <r>
      <rPr>
        <sz val="12"/>
        <rFont val="Calibri"/>
        <family val="2"/>
        <charset val="204"/>
        <scheme val="minor"/>
      </rPr>
      <t xml:space="preserve">x </t>
    </r>
    <r>
      <rPr>
        <b/>
        <sz val="12"/>
        <rFont val="Calibri"/>
        <family val="2"/>
        <charset val="204"/>
        <scheme val="minor"/>
      </rPr>
      <t>b</t>
    </r>
    <r>
      <rPr>
        <sz val="12"/>
        <rFont val="Calibri"/>
        <family val="2"/>
        <charset val="204"/>
        <scheme val="minor"/>
      </rPr>
      <t xml:space="preserve"> см?</t>
    </r>
  </si>
  <si>
    <t>Скільки літрів води можна налити в таку кулю?</t>
  </si>
  <si>
    <r>
      <rPr>
        <b/>
        <sz val="10"/>
        <rFont val="Arial Cyr"/>
        <charset val="204"/>
      </rPr>
      <t>a</t>
    </r>
    <r>
      <rPr>
        <sz val="11"/>
        <color theme="1"/>
        <rFont val="Calibri"/>
        <family val="2"/>
        <charset val="204"/>
        <scheme val="minor"/>
      </rPr>
      <t>, см</t>
    </r>
  </si>
  <si>
    <r>
      <rPr>
        <b/>
        <sz val="10"/>
        <rFont val="Arial Cyr"/>
        <charset val="204"/>
      </rPr>
      <t>b</t>
    </r>
    <r>
      <rPr>
        <sz val="11"/>
        <color theme="1"/>
        <rFont val="Calibri"/>
        <family val="2"/>
        <charset val="204"/>
        <scheme val="minor"/>
      </rPr>
      <t>, cм</t>
    </r>
  </si>
  <si>
    <r>
      <rPr>
        <b/>
        <sz val="10"/>
        <rFont val="Arial Cyr"/>
        <charset val="204"/>
      </rPr>
      <t>r</t>
    </r>
    <r>
      <rPr>
        <sz val="11"/>
        <color theme="1"/>
        <rFont val="Calibri"/>
        <family val="2"/>
        <charset val="204"/>
        <scheme val="minor"/>
      </rPr>
      <t>, см</t>
    </r>
  </si>
  <si>
    <r>
      <rPr>
        <b/>
        <sz val="10"/>
        <rFont val="Arial Cyr"/>
        <charset val="204"/>
      </rPr>
      <t>V</t>
    </r>
    <r>
      <rPr>
        <sz val="11"/>
        <color theme="1"/>
        <rFont val="Calibri"/>
        <family val="2"/>
        <charset val="204"/>
        <scheme val="minor"/>
      </rPr>
      <t>, л</t>
    </r>
  </si>
  <si>
    <r>
      <t xml:space="preserve">Загальна </t>
    </r>
    <r>
      <rPr>
        <sz val="11"/>
        <color rgb="FFFF0000"/>
        <rFont val="Calibri"/>
        <family val="2"/>
        <charset val="204"/>
        <scheme val="minor"/>
      </rPr>
      <t>сума</t>
    </r>
    <r>
      <rPr>
        <sz val="11"/>
        <rFont val="Calibri"/>
        <family val="2"/>
        <charset val="204"/>
        <scheme val="minor"/>
      </rPr>
      <t xml:space="preserve"> продажу за </t>
    </r>
    <r>
      <rPr>
        <b/>
        <sz val="11"/>
        <rFont val="Calibri"/>
        <family val="2"/>
        <charset val="204"/>
        <scheme val="minor"/>
      </rPr>
      <t xml:space="preserve">липень </t>
    </r>
    <r>
      <rPr>
        <sz val="11"/>
        <rFont val="Calibri"/>
        <family val="2"/>
        <charset val="204"/>
        <scheme val="minor"/>
      </rPr>
      <t>та</t>
    </r>
    <r>
      <rPr>
        <b/>
        <sz val="11"/>
        <rFont val="Calibri"/>
        <family val="2"/>
        <charset val="204"/>
        <scheme val="minor"/>
      </rPr>
      <t xml:space="preserve"> вересень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</si>
</sst>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&quot;₴&quot;_-;\-* #,##0.00&quot;₴&quot;_-;_-* &quot;-&quot;??&quot;₴&quot;_-;_-@_-"/>
    <numFmt numFmtId="165" formatCode="_-* #,##0.00_₴_-;\-* #,##0.00_₴_-;_-* &quot;-&quot;??_₴_-;_-@_-"/>
    <numFmt numFmtId="166" formatCode="_-* #,##0\ &quot;грн.&quot;_-;\-* #,##0\ &quot;грн.&quot;_-;_-* &quot;-&quot;\ &quot;грн.&quot;_-;_-@_-"/>
    <numFmt numFmtId="167" formatCode="_-* #,##0.00\ &quot;грн.&quot;_-;\-* #,##0.00\ &quot;грн.&quot;_-;_-* &quot;-&quot;??\ &quot;грн.&quot;_-;_-@_-"/>
    <numFmt numFmtId="168" formatCode="#,##0.00&quot;₴&quot;"/>
    <numFmt numFmtId="169" formatCode="_-* #,##0.00[$₴-422]_-;\-* #,##0.00[$₴-422]_-;_-* &quot;-&quot;??[$₴-422]_-;_-@_-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name val="Times New Roman Cyr"/>
      <family val="1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29"/>
      </left>
      <right style="medium">
        <color indexed="29"/>
      </right>
      <top style="medium">
        <color indexed="29"/>
      </top>
      <bottom style="medium">
        <color indexed="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29"/>
      </left>
      <right style="medium">
        <color indexed="29"/>
      </right>
      <top/>
      <bottom style="medium">
        <color indexed="29"/>
      </bottom>
      <diagonal/>
    </border>
  </borders>
  <cellStyleXfs count="34">
    <xf numFmtId="0" fontId="0" fillId="0" borderId="0"/>
    <xf numFmtId="0" fontId="4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4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</cellStyleXfs>
  <cellXfs count="90">
    <xf numFmtId="0" fontId="0" fillId="0" borderId="0" xfId="0"/>
    <xf numFmtId="0" fontId="4" fillId="0" borderId="0" xfId="1"/>
    <xf numFmtId="0" fontId="10" fillId="0" borderId="0" xfId="1" applyFont="1" applyAlignment="1">
      <alignment horizontal="left"/>
    </xf>
    <xf numFmtId="0" fontId="10" fillId="0" borderId="0" xfId="1" applyFont="1" applyAlignment="1">
      <alignment horizontal="left" vertical="justify"/>
    </xf>
    <xf numFmtId="0" fontId="10" fillId="0" borderId="0" xfId="1" applyFont="1" applyAlignment="1">
      <alignment horizontal="left" vertical="center"/>
    </xf>
    <xf numFmtId="0" fontId="6" fillId="5" borderId="2" xfId="1" applyFont="1" applyFill="1" applyBorder="1" applyAlignment="1">
      <alignment horizontal="center" vertical="center"/>
    </xf>
    <xf numFmtId="0" fontId="7" fillId="6" borderId="2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4" fillId="8" borderId="2" xfId="1" applyFill="1" applyBorder="1" applyAlignment="1">
      <alignment horizontal="center"/>
    </xf>
    <xf numFmtId="0" fontId="4" fillId="0" borderId="0" xfId="20"/>
    <xf numFmtId="0" fontId="6" fillId="0" borderId="1" xfId="20" applyFont="1" applyBorder="1"/>
    <xf numFmtId="0" fontId="6" fillId="0" borderId="0" xfId="20" applyFont="1" applyAlignment="1">
      <alignment horizontal="center" vertical="center"/>
    </xf>
    <xf numFmtId="0" fontId="6" fillId="0" borderId="0" xfId="20" applyFont="1" applyAlignment="1">
      <alignment horizontal="center" vertical="center" wrapText="1"/>
    </xf>
    <xf numFmtId="0" fontId="6" fillId="4" borderId="2" xfId="20" applyFont="1" applyFill="1" applyBorder="1" applyAlignment="1">
      <alignment horizontal="center" vertical="center" wrapText="1"/>
    </xf>
    <xf numFmtId="0" fontId="6" fillId="0" borderId="0" xfId="14" applyFont="1"/>
    <xf numFmtId="0" fontId="10" fillId="0" borderId="9" xfId="20" applyFont="1" applyBorder="1"/>
    <xf numFmtId="0" fontId="5" fillId="3" borderId="6" xfId="14" applyFont="1" applyFill="1" applyBorder="1" applyAlignment="1">
      <alignment horizontal="center" vertical="center" wrapText="1"/>
    </xf>
    <xf numFmtId="0" fontId="5" fillId="3" borderId="3" xfId="14" applyFont="1" applyFill="1" applyBorder="1" applyAlignment="1">
      <alignment horizontal="center" vertical="center" wrapText="1"/>
    </xf>
    <xf numFmtId="0" fontId="5" fillId="3" borderId="8" xfId="14" applyFont="1" applyFill="1" applyBorder="1" applyAlignment="1">
      <alignment horizontal="center" vertical="center" wrapText="1"/>
    </xf>
    <xf numFmtId="0" fontId="6" fillId="0" borderId="10" xfId="20" applyFont="1" applyBorder="1"/>
    <xf numFmtId="0" fontId="6" fillId="2" borderId="10" xfId="14" applyFont="1" applyFill="1" applyBorder="1"/>
    <xf numFmtId="0" fontId="6" fillId="0" borderId="10" xfId="14" applyFont="1" applyBorder="1" applyAlignment="1">
      <alignment horizontal="center"/>
    </xf>
    <xf numFmtId="0" fontId="6" fillId="2" borderId="10" xfId="14" applyFont="1" applyFill="1" applyBorder="1" applyAlignment="1">
      <alignment horizontal="center"/>
    </xf>
    <xf numFmtId="0" fontId="6" fillId="0" borderId="10" xfId="14" applyFont="1" applyBorder="1"/>
    <xf numFmtId="0" fontId="6" fillId="2" borderId="1" xfId="14" applyFont="1" applyFill="1" applyBorder="1"/>
    <xf numFmtId="0" fontId="6" fillId="0" borderId="1" xfId="14" applyFont="1" applyBorder="1" applyAlignment="1">
      <alignment horizontal="center"/>
    </xf>
    <xf numFmtId="0" fontId="6" fillId="2" borderId="1" xfId="14" applyFont="1" applyFill="1" applyBorder="1" applyAlignment="1">
      <alignment horizontal="center"/>
    </xf>
    <xf numFmtId="0" fontId="6" fillId="0" borderId="1" xfId="14" applyFont="1" applyBorder="1"/>
    <xf numFmtId="0" fontId="4" fillId="0" borderId="0" xfId="27"/>
    <xf numFmtId="0" fontId="15" fillId="0" borderId="0" xfId="19" applyFont="1" applyAlignment="1">
      <alignment horizontal="left" vertical="center"/>
    </xf>
    <xf numFmtId="0" fontId="3" fillId="4" borderId="2" xfId="19" applyFont="1" applyFill="1" applyBorder="1" applyAlignment="1">
      <alignment horizontal="center" vertical="center" wrapText="1"/>
    </xf>
    <xf numFmtId="0" fontId="1" fillId="0" borderId="2" xfId="19" applyBorder="1"/>
    <xf numFmtId="0" fontId="1" fillId="0" borderId="2" xfId="19" applyBorder="1" applyAlignment="1">
      <alignment horizontal="center" vertical="center"/>
    </xf>
    <xf numFmtId="0" fontId="1" fillId="10" borderId="2" xfId="19" applyFill="1" applyBorder="1" applyAlignment="1">
      <alignment horizontal="center" vertical="center"/>
    </xf>
    <xf numFmtId="0" fontId="1" fillId="11" borderId="2" xfId="19" applyFill="1" applyBorder="1"/>
    <xf numFmtId="0" fontId="1" fillId="11" borderId="2" xfId="19" applyFill="1" applyBorder="1" applyAlignment="1">
      <alignment horizontal="center" vertical="center"/>
    </xf>
    <xf numFmtId="0" fontId="3" fillId="6" borderId="2" xfId="19" applyFont="1" applyFill="1" applyBorder="1" applyAlignment="1">
      <alignment horizontal="center" vertical="center" wrapText="1"/>
    </xf>
    <xf numFmtId="0" fontId="1" fillId="6" borderId="2" xfId="19" applyFill="1" applyBorder="1" applyAlignment="1">
      <alignment horizontal="center" vertical="center"/>
    </xf>
    <xf numFmtId="0" fontId="4" fillId="0" borderId="0" xfId="30"/>
    <xf numFmtId="0" fontId="1" fillId="9" borderId="2" xfId="28" applyFill="1" applyBorder="1"/>
    <xf numFmtId="0" fontId="1" fillId="5" borderId="2" xfId="28" applyFill="1" applyBorder="1" applyAlignment="1">
      <alignment horizontal="center"/>
    </xf>
    <xf numFmtId="0" fontId="1" fillId="5" borderId="2" xfId="28" applyFill="1" applyBorder="1"/>
    <xf numFmtId="167" fontId="7" fillId="4" borderId="2" xfId="28" applyNumberFormat="1" applyFont="1" applyFill="1" applyBorder="1" applyAlignment="1">
      <alignment horizontal="center"/>
    </xf>
    <xf numFmtId="0" fontId="9" fillId="0" borderId="0" xfId="28" applyFont="1" applyAlignment="1">
      <alignment horizontal="right"/>
    </xf>
    <xf numFmtId="169" fontId="4" fillId="0" borderId="2" xfId="29" applyNumberFormat="1" applyFont="1" applyBorder="1"/>
    <xf numFmtId="0" fontId="4" fillId="0" borderId="0" xfId="33"/>
    <xf numFmtId="0" fontId="7" fillId="6" borderId="2" xfId="33" quotePrefix="1" applyFont="1" applyFill="1" applyBorder="1" applyAlignment="1">
      <alignment horizontal="center"/>
    </xf>
    <xf numFmtId="0" fontId="6" fillId="0" borderId="2" xfId="33" quotePrefix="1" applyFont="1" applyBorder="1"/>
    <xf numFmtId="0" fontId="6" fillId="0" borderId="2" xfId="33" quotePrefix="1" applyFont="1" applyBorder="1" applyAlignment="1">
      <alignment horizontal="center"/>
    </xf>
    <xf numFmtId="168" fontId="7" fillId="6" borderId="2" xfId="33" quotePrefix="1" applyNumberFormat="1" applyFont="1" applyFill="1" applyBorder="1" applyAlignment="1">
      <alignment horizontal="center"/>
    </xf>
    <xf numFmtId="0" fontId="4" fillId="6" borderId="2" xfId="33" applyFill="1" applyBorder="1" applyAlignment="1">
      <alignment horizontal="center"/>
    </xf>
    <xf numFmtId="0" fontId="6" fillId="6" borderId="2" xfId="33" applyFont="1" applyFill="1" applyBorder="1"/>
    <xf numFmtId="0" fontId="10" fillId="0" borderId="0" xfId="33" applyFont="1" applyAlignment="1">
      <alignment vertical="center"/>
    </xf>
    <xf numFmtId="164" fontId="6" fillId="0" borderId="2" xfId="32" applyFont="1" applyBorder="1"/>
    <xf numFmtId="0" fontId="6" fillId="12" borderId="2" xfId="33" applyFont="1" applyFill="1" applyBorder="1" applyAlignment="1">
      <alignment horizontal="left" vertical="center"/>
    </xf>
    <xf numFmtId="0" fontId="6" fillId="12" borderId="3" xfId="33" applyFont="1" applyFill="1" applyBorder="1"/>
    <xf numFmtId="0" fontId="6" fillId="12" borderId="8" xfId="33" applyFont="1" applyFill="1" applyBorder="1"/>
    <xf numFmtId="168" fontId="4" fillId="6" borderId="2" xfId="33" applyNumberFormat="1" applyFill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6" fillId="0" borderId="0" xfId="0" applyFont="1"/>
    <xf numFmtId="0" fontId="11" fillId="0" borderId="0" xfId="0" applyFont="1"/>
    <xf numFmtId="0" fontId="17" fillId="5" borderId="2" xfId="0" applyFont="1" applyFill="1" applyBorder="1" applyAlignment="1">
      <alignment horizontal="center"/>
    </xf>
    <xf numFmtId="0" fontId="18" fillId="5" borderId="2" xfId="2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right"/>
    </xf>
    <xf numFmtId="0" fontId="7" fillId="13" borderId="2" xfId="2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left" vertical="center" wrapText="1"/>
    </xf>
    <xf numFmtId="0" fontId="18" fillId="10" borderId="0" xfId="0" applyFont="1" applyFill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5" borderId="2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12" fillId="7" borderId="4" xfId="1" applyFont="1" applyFill="1" applyBorder="1" applyAlignment="1">
      <alignment horizontal="center" vertical="center"/>
    </xf>
    <xf numFmtId="0" fontId="12" fillId="7" borderId="7" xfId="1" applyFont="1" applyFill="1" applyBorder="1" applyAlignment="1">
      <alignment horizontal="center" vertical="center"/>
    </xf>
    <xf numFmtId="0" fontId="12" fillId="7" borderId="5" xfId="1" applyFont="1" applyFill="1" applyBorder="1" applyAlignment="1">
      <alignment horizontal="center" vertical="center"/>
    </xf>
    <xf numFmtId="0" fontId="3" fillId="8" borderId="6" xfId="1" applyFont="1" applyFill="1" applyBorder="1" applyAlignment="1">
      <alignment horizontal="right"/>
    </xf>
    <xf numFmtId="0" fontId="3" fillId="8" borderId="3" xfId="1" applyFont="1" applyFill="1" applyBorder="1" applyAlignment="1">
      <alignment horizontal="right"/>
    </xf>
    <xf numFmtId="0" fontId="8" fillId="5" borderId="2" xfId="1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/>
    </xf>
    <xf numFmtId="0" fontId="13" fillId="4" borderId="6" xfId="33" applyFont="1" applyFill="1" applyBorder="1" applyAlignment="1">
      <alignment horizontal="center"/>
    </xf>
    <xf numFmtId="0" fontId="13" fillId="4" borderId="8" xfId="33" applyFont="1" applyFill="1" applyBorder="1" applyAlignment="1">
      <alignment horizontal="center"/>
    </xf>
  </cellXfs>
  <cellStyles count="34">
    <cellStyle name="Відсотковий 2" xfId="4" xr:uid="{00000000-0005-0000-0000-000000000000}"/>
    <cellStyle name="Відсотковий 3" xfId="5" xr:uid="{00000000-0005-0000-0000-000001000000}"/>
    <cellStyle name="Грошовий 2 2" xfId="3" xr:uid="{00000000-0005-0000-0000-000002000000}"/>
    <cellStyle name="Грошовий 2 3" xfId="22" xr:uid="{00000000-0005-0000-0000-000003000000}"/>
    <cellStyle name="Грошовий 2 4" xfId="25" xr:uid="{00000000-0005-0000-0000-000004000000}"/>
    <cellStyle name="Грошовий 2 5" xfId="23" xr:uid="{00000000-0005-0000-0000-000005000000}"/>
    <cellStyle name="Грошовий 2 6" xfId="24" xr:uid="{00000000-0005-0000-0000-000006000000}"/>
    <cellStyle name="Грошовий 3" xfId="6" xr:uid="{00000000-0005-0000-0000-000007000000}"/>
    <cellStyle name="Грошовий 4" xfId="7" xr:uid="{00000000-0005-0000-0000-000008000000}"/>
    <cellStyle name="Грошовий 7" xfId="29" xr:uid="{00000000-0005-0000-0000-000009000000}"/>
    <cellStyle name="Грошовий 8" xfId="32" xr:uid="{00000000-0005-0000-0000-00000A000000}"/>
    <cellStyle name="Звичайний" xfId="0" builtinId="0"/>
    <cellStyle name="Звичайний 10" xfId="8" xr:uid="{00000000-0005-0000-0000-00000C000000}"/>
    <cellStyle name="Звичайний 11" xfId="19" xr:uid="{00000000-0005-0000-0000-00000D000000}"/>
    <cellStyle name="Звичайний 12" xfId="20" xr:uid="{00000000-0005-0000-0000-00000E000000}"/>
    <cellStyle name="Звичайний 13" xfId="27" xr:uid="{00000000-0005-0000-0000-00000F000000}"/>
    <cellStyle name="Звичайний 14" xfId="30" xr:uid="{00000000-0005-0000-0000-000010000000}"/>
    <cellStyle name="Звичайний 15" xfId="33" xr:uid="{00000000-0005-0000-0000-000011000000}"/>
    <cellStyle name="Звичайний 2" xfId="1" xr:uid="{00000000-0005-0000-0000-000012000000}"/>
    <cellStyle name="Звичайний 2 2" xfId="2" xr:uid="{00000000-0005-0000-0000-000013000000}"/>
    <cellStyle name="Звичайний 2 3" xfId="21" xr:uid="{00000000-0005-0000-0000-000014000000}"/>
    <cellStyle name="Звичайний 2 4" xfId="26" xr:uid="{00000000-0005-0000-0000-000015000000}"/>
    <cellStyle name="Звичайний 2 5" xfId="28" xr:uid="{00000000-0005-0000-0000-000016000000}"/>
    <cellStyle name="Звичайний 2 6" xfId="31" xr:uid="{00000000-0005-0000-0000-000017000000}"/>
    <cellStyle name="Звичайний 3" xfId="9" xr:uid="{00000000-0005-0000-0000-000018000000}"/>
    <cellStyle name="Звичайний 4" xfId="10" xr:uid="{00000000-0005-0000-0000-000019000000}"/>
    <cellStyle name="Звичайний 5" xfId="11" xr:uid="{00000000-0005-0000-0000-00001A000000}"/>
    <cellStyle name="Звичайний 6" xfId="12" xr:uid="{00000000-0005-0000-0000-00001B000000}"/>
    <cellStyle name="Звичайний 7" xfId="13" xr:uid="{00000000-0005-0000-0000-00001C000000}"/>
    <cellStyle name="Звичайний 8" xfId="14" xr:uid="{00000000-0005-0000-0000-00001D000000}"/>
    <cellStyle name="Звичайний 9" xfId="15" xr:uid="{00000000-0005-0000-0000-00001E000000}"/>
    <cellStyle name="Обычный 2" xfId="16" xr:uid="{00000000-0005-0000-0000-00001F000000}"/>
    <cellStyle name="Фінансовий 2" xfId="17" xr:uid="{00000000-0005-0000-0000-000020000000}"/>
    <cellStyle name="Фінансовий 3" xfId="18" xr:uid="{00000000-0005-0000-0000-00002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678180</xdr:colOff>
          <xdr:row>10</xdr:row>
          <xdr:rowOff>22860</xdr:rowOff>
        </xdr:from>
        <xdr:to>
          <xdr:col>2</xdr:col>
          <xdr:colOff>617220</xdr:colOff>
          <xdr:row>17</xdr:row>
          <xdr:rowOff>60960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601980</xdr:colOff>
          <xdr:row>4</xdr:row>
          <xdr:rowOff>99060</xdr:rowOff>
        </xdr:from>
        <xdr:to>
          <xdr:col>9</xdr:col>
          <xdr:colOff>68580</xdr:colOff>
          <xdr:row>7</xdr:row>
          <xdr:rowOff>160020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6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5" Type="http://schemas.openxmlformats.org/officeDocument/2006/relationships/comments" Target="../comments2.xml"/><Relationship Id="rId4" Type="http://schemas.openxmlformats.org/officeDocument/2006/relationships/image" Target="../media/image1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5" Type="http://schemas.openxmlformats.org/officeDocument/2006/relationships/comments" Target="../comments3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D16" sqref="D16"/>
    </sheetView>
  </sheetViews>
  <sheetFormatPr defaultRowHeight="14.4" x14ac:dyDescent="0.3"/>
  <cols>
    <col min="1" max="1" width="3.88671875" bestFit="1" customWidth="1"/>
    <col min="2" max="2" width="10.109375" bestFit="1" customWidth="1"/>
    <col min="3" max="3" width="20" bestFit="1" customWidth="1"/>
    <col min="4" max="15" width="9.88671875" customWidth="1"/>
    <col min="16" max="16" width="14" customWidth="1"/>
  </cols>
  <sheetData>
    <row r="1" spans="1:16" ht="18" x14ac:dyDescent="0.35">
      <c r="A1" s="2"/>
      <c r="B1" s="2"/>
      <c r="C1" s="3"/>
      <c r="D1" s="4" t="s">
        <v>0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">
      <c r="A2" s="86" t="s">
        <v>1</v>
      </c>
      <c r="B2" s="87" t="s">
        <v>2</v>
      </c>
      <c r="C2" s="87"/>
      <c r="D2" s="87" t="s">
        <v>3</v>
      </c>
      <c r="E2" s="87"/>
      <c r="F2" s="87"/>
      <c r="G2" s="87" t="s">
        <v>4</v>
      </c>
      <c r="H2" s="87"/>
      <c r="I2" s="87"/>
      <c r="J2" s="87" t="s">
        <v>5</v>
      </c>
      <c r="K2" s="87"/>
      <c r="L2" s="87"/>
      <c r="M2" s="87" t="s">
        <v>6</v>
      </c>
      <c r="N2" s="87"/>
      <c r="O2" s="87"/>
      <c r="P2" s="1"/>
    </row>
    <row r="3" spans="1:16" ht="15.6" x14ac:dyDescent="0.3">
      <c r="A3" s="86"/>
      <c r="B3" s="87"/>
      <c r="C3" s="87"/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6" t="s">
        <v>19</v>
      </c>
    </row>
    <row r="4" spans="1:16" x14ac:dyDescent="0.3">
      <c r="A4" s="7">
        <v>1</v>
      </c>
      <c r="B4" s="8" t="s">
        <v>20</v>
      </c>
      <c r="C4" s="8" t="s">
        <v>21</v>
      </c>
      <c r="D4" s="8">
        <v>-12200</v>
      </c>
      <c r="E4" s="8">
        <v>11000</v>
      </c>
      <c r="F4" s="8">
        <v>-4500</v>
      </c>
      <c r="G4" s="8">
        <v>-200</v>
      </c>
      <c r="H4" s="8">
        <v>200</v>
      </c>
      <c r="I4" s="8">
        <v>-800</v>
      </c>
      <c r="J4" s="8">
        <v>900</v>
      </c>
      <c r="K4" s="8">
        <v>100</v>
      </c>
      <c r="L4" s="9">
        <v>0</v>
      </c>
      <c r="M4" s="8">
        <v>-300</v>
      </c>
      <c r="N4" s="8">
        <v>-1400</v>
      </c>
      <c r="O4" s="8">
        <v>-5600</v>
      </c>
      <c r="P4" s="81" t="s">
        <v>22</v>
      </c>
    </row>
    <row r="5" spans="1:16" x14ac:dyDescent="0.3">
      <c r="A5" s="7">
        <v>2</v>
      </c>
      <c r="B5" s="8" t="s">
        <v>23</v>
      </c>
      <c r="C5" s="8" t="s">
        <v>24</v>
      </c>
      <c r="D5" s="8">
        <v>-800</v>
      </c>
      <c r="E5" s="8">
        <v>1200</v>
      </c>
      <c r="F5" s="8">
        <v>500</v>
      </c>
      <c r="G5" s="8">
        <v>-1600</v>
      </c>
      <c r="H5" s="8">
        <v>-2000</v>
      </c>
      <c r="I5" s="8">
        <v>-1800</v>
      </c>
      <c r="J5" s="8">
        <v>-1100</v>
      </c>
      <c r="K5" s="8">
        <v>400</v>
      </c>
      <c r="L5" s="9">
        <v>500</v>
      </c>
      <c r="M5" s="8">
        <v>1300</v>
      </c>
      <c r="N5" s="8">
        <v>400</v>
      </c>
      <c r="O5" s="8">
        <v>-700</v>
      </c>
      <c r="P5" s="82"/>
    </row>
    <row r="6" spans="1:16" x14ac:dyDescent="0.3">
      <c r="A6" s="7">
        <v>3</v>
      </c>
      <c r="B6" s="8" t="s">
        <v>25</v>
      </c>
      <c r="C6" s="8" t="s">
        <v>26</v>
      </c>
      <c r="D6" s="8">
        <v>1200</v>
      </c>
      <c r="E6" s="8">
        <v>800</v>
      </c>
      <c r="F6" s="8">
        <v>0</v>
      </c>
      <c r="G6" s="8">
        <v>12100</v>
      </c>
      <c r="H6" s="8">
        <v>10000</v>
      </c>
      <c r="I6" s="8">
        <v>8900</v>
      </c>
      <c r="J6" s="8">
        <v>5400</v>
      </c>
      <c r="K6" s="8">
        <v>200</v>
      </c>
      <c r="L6" s="9">
        <v>-1200</v>
      </c>
      <c r="M6" s="8">
        <v>5600</v>
      </c>
      <c r="N6" s="8">
        <v>2300</v>
      </c>
      <c r="O6" s="8">
        <v>3200</v>
      </c>
      <c r="P6" s="82"/>
    </row>
    <row r="7" spans="1:16" x14ac:dyDescent="0.3">
      <c r="A7" s="7">
        <v>4</v>
      </c>
      <c r="B7" s="8" t="s">
        <v>27</v>
      </c>
      <c r="C7" s="8" t="s">
        <v>28</v>
      </c>
      <c r="D7" s="8">
        <v>0</v>
      </c>
      <c r="E7" s="8">
        <v>200</v>
      </c>
      <c r="F7" s="8">
        <v>300</v>
      </c>
      <c r="G7" s="8">
        <v>-200</v>
      </c>
      <c r="H7" s="8">
        <v>-1300</v>
      </c>
      <c r="I7" s="8">
        <v>1000</v>
      </c>
      <c r="J7" s="8">
        <v>1300</v>
      </c>
      <c r="K7" s="8">
        <v>600</v>
      </c>
      <c r="L7" s="9">
        <v>-100</v>
      </c>
      <c r="M7" s="8">
        <v>-400</v>
      </c>
      <c r="N7" s="8">
        <v>-600</v>
      </c>
      <c r="O7" s="8">
        <v>200</v>
      </c>
      <c r="P7" s="82"/>
    </row>
    <row r="8" spans="1:16" x14ac:dyDescent="0.3">
      <c r="A8" s="7">
        <v>5</v>
      </c>
      <c r="B8" s="8" t="s">
        <v>29</v>
      </c>
      <c r="C8" s="8" t="s">
        <v>30</v>
      </c>
      <c r="D8" s="8">
        <v>-7500</v>
      </c>
      <c r="E8" s="8">
        <v>-4600</v>
      </c>
      <c r="F8" s="8">
        <v>-9000</v>
      </c>
      <c r="G8" s="8">
        <v>23000</v>
      </c>
      <c r="H8" s="8">
        <v>-9900</v>
      </c>
      <c r="I8" s="8">
        <v>-800</v>
      </c>
      <c r="J8" s="8">
        <v>600</v>
      </c>
      <c r="K8" s="8">
        <v>1200</v>
      </c>
      <c r="L8" s="9">
        <v>800</v>
      </c>
      <c r="M8" s="8">
        <v>-1200</v>
      </c>
      <c r="N8" s="8">
        <v>-10000</v>
      </c>
      <c r="O8" s="8">
        <v>-8700</v>
      </c>
      <c r="P8" s="82"/>
    </row>
    <row r="9" spans="1:16" x14ac:dyDescent="0.3">
      <c r="A9" s="7">
        <v>6</v>
      </c>
      <c r="B9" s="8" t="s">
        <v>31</v>
      </c>
      <c r="C9" s="8" t="s">
        <v>32</v>
      </c>
      <c r="D9" s="8">
        <v>-900</v>
      </c>
      <c r="E9" s="8">
        <v>-200</v>
      </c>
      <c r="F9" s="8">
        <v>500</v>
      </c>
      <c r="G9" s="8">
        <v>-200</v>
      </c>
      <c r="H9" s="8">
        <v>0</v>
      </c>
      <c r="I9" s="8">
        <v>100</v>
      </c>
      <c r="J9" s="8">
        <v>600</v>
      </c>
      <c r="K9" s="8">
        <v>700</v>
      </c>
      <c r="L9" s="9">
        <v>-200</v>
      </c>
      <c r="M9" s="8">
        <v>-1000</v>
      </c>
      <c r="N9" s="8">
        <v>900</v>
      </c>
      <c r="O9" s="8">
        <v>-3300</v>
      </c>
      <c r="P9" s="82"/>
    </row>
    <row r="10" spans="1:16" x14ac:dyDescent="0.3">
      <c r="A10" s="7">
        <v>7</v>
      </c>
      <c r="B10" s="8" t="s">
        <v>33</v>
      </c>
      <c r="C10" s="8" t="s">
        <v>34</v>
      </c>
      <c r="D10" s="8">
        <v>700</v>
      </c>
      <c r="E10" s="8">
        <v>200</v>
      </c>
      <c r="F10" s="8">
        <v>0</v>
      </c>
      <c r="G10" s="8">
        <v>300</v>
      </c>
      <c r="H10" s="8">
        <v>500</v>
      </c>
      <c r="I10" s="8">
        <v>600</v>
      </c>
      <c r="J10" s="8">
        <v>600</v>
      </c>
      <c r="K10" s="8">
        <v>1300</v>
      </c>
      <c r="L10" s="9">
        <v>-400</v>
      </c>
      <c r="M10" s="8">
        <v>0</v>
      </c>
      <c r="N10" s="8">
        <v>1200</v>
      </c>
      <c r="O10" s="8">
        <v>1100</v>
      </c>
      <c r="P10" s="82"/>
    </row>
    <row r="11" spans="1:16" x14ac:dyDescent="0.3">
      <c r="A11" s="7">
        <v>8</v>
      </c>
      <c r="B11" s="8" t="s">
        <v>35</v>
      </c>
      <c r="C11" s="8" t="s">
        <v>36</v>
      </c>
      <c r="D11" s="8">
        <v>100</v>
      </c>
      <c r="E11" s="8">
        <v>-300</v>
      </c>
      <c r="F11" s="8">
        <v>-500</v>
      </c>
      <c r="G11" s="8">
        <v>200</v>
      </c>
      <c r="H11" s="8">
        <v>900</v>
      </c>
      <c r="I11" s="8">
        <v>700</v>
      </c>
      <c r="J11" s="8">
        <v>100</v>
      </c>
      <c r="K11" s="8">
        <v>-400</v>
      </c>
      <c r="L11" s="9">
        <v>-700</v>
      </c>
      <c r="M11" s="8">
        <v>-1800</v>
      </c>
      <c r="N11" s="8">
        <v>-2100</v>
      </c>
      <c r="O11" s="8">
        <v>-1200</v>
      </c>
      <c r="P11" s="82"/>
    </row>
    <row r="12" spans="1:16" x14ac:dyDescent="0.3">
      <c r="A12" s="7">
        <v>9</v>
      </c>
      <c r="B12" s="8" t="s">
        <v>37</v>
      </c>
      <c r="C12" s="8" t="s">
        <v>38</v>
      </c>
      <c r="D12" s="8">
        <v>600</v>
      </c>
      <c r="E12" s="8">
        <v>700</v>
      </c>
      <c r="F12" s="8">
        <v>300</v>
      </c>
      <c r="G12" s="8">
        <v>-500</v>
      </c>
      <c r="H12" s="8">
        <v>-700</v>
      </c>
      <c r="I12" s="8">
        <v>100</v>
      </c>
      <c r="J12" s="8">
        <v>-800</v>
      </c>
      <c r="K12" s="8">
        <v>-2300</v>
      </c>
      <c r="L12" s="9">
        <v>-1700</v>
      </c>
      <c r="M12" s="8">
        <v>400</v>
      </c>
      <c r="N12" s="8">
        <v>0</v>
      </c>
      <c r="O12" s="8">
        <v>-300</v>
      </c>
      <c r="P12" s="82"/>
    </row>
    <row r="13" spans="1:16" x14ac:dyDescent="0.3">
      <c r="A13" s="7">
        <v>10</v>
      </c>
      <c r="B13" s="8" t="s">
        <v>39</v>
      </c>
      <c r="C13" s="8" t="s">
        <v>40</v>
      </c>
      <c r="D13" s="8">
        <v>3400</v>
      </c>
      <c r="E13" s="8">
        <v>2100</v>
      </c>
      <c r="F13" s="8">
        <v>1500</v>
      </c>
      <c r="G13" s="8">
        <v>-200</v>
      </c>
      <c r="H13" s="8">
        <v>900</v>
      </c>
      <c r="I13" s="8">
        <v>1300</v>
      </c>
      <c r="J13" s="8">
        <v>-200</v>
      </c>
      <c r="K13" s="8">
        <v>400</v>
      </c>
      <c r="L13" s="9">
        <v>2400</v>
      </c>
      <c r="M13" s="8">
        <v>700</v>
      </c>
      <c r="N13" s="8">
        <v>400</v>
      </c>
      <c r="O13" s="8">
        <v>-600</v>
      </c>
      <c r="P13" s="83"/>
    </row>
    <row r="14" spans="1:16" x14ac:dyDescent="0.3">
      <c r="A14" s="84" t="s">
        <v>19</v>
      </c>
      <c r="B14" s="85"/>
      <c r="C14" s="85"/>
      <c r="D14" s="10" t="s">
        <v>22</v>
      </c>
      <c r="E14" s="10" t="s">
        <v>22</v>
      </c>
      <c r="F14" s="10" t="s">
        <v>22</v>
      </c>
      <c r="G14" s="10" t="s">
        <v>22</v>
      </c>
      <c r="H14" s="10" t="s">
        <v>22</v>
      </c>
      <c r="I14" s="10" t="s">
        <v>22</v>
      </c>
      <c r="J14" s="10" t="s">
        <v>22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"/>
    </row>
  </sheetData>
  <mergeCells count="8">
    <mergeCell ref="P4:P13"/>
    <mergeCell ref="A14:C14"/>
    <mergeCell ref="A2:A3"/>
    <mergeCell ref="B2:C3"/>
    <mergeCell ref="D2:F2"/>
    <mergeCell ref="G2:I2"/>
    <mergeCell ref="J2:L2"/>
    <mergeCell ref="M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L104"/>
  <sheetViews>
    <sheetView workbookViewId="0">
      <selection activeCell="I6" sqref="I6"/>
    </sheetView>
  </sheetViews>
  <sheetFormatPr defaultRowHeight="14.4" x14ac:dyDescent="0.3"/>
  <cols>
    <col min="1" max="1" width="15.44140625" bestFit="1" customWidth="1"/>
    <col min="2" max="2" width="12" customWidth="1"/>
    <col min="3" max="4" width="10.33203125" customWidth="1"/>
    <col min="5" max="5" width="9.33203125" customWidth="1"/>
    <col min="6" max="7" width="12" customWidth="1"/>
    <col min="8" max="8" width="2.6640625" customWidth="1"/>
    <col min="9" max="12" width="13.44140625" customWidth="1"/>
  </cols>
  <sheetData>
    <row r="1" spans="1:12" ht="18" x14ac:dyDescent="0.35">
      <c r="A1" s="16"/>
      <c r="B1" s="17" t="s">
        <v>41</v>
      </c>
      <c r="C1" s="17"/>
      <c r="D1" s="17"/>
      <c r="E1" s="17"/>
      <c r="F1" s="17"/>
      <c r="G1" s="17"/>
      <c r="H1" s="11"/>
      <c r="I1" s="11"/>
      <c r="J1" s="11"/>
      <c r="K1" s="11"/>
      <c r="L1" s="11"/>
    </row>
    <row r="2" spans="1:12" ht="43.2" x14ac:dyDescent="0.3">
      <c r="A2" s="18" t="s">
        <v>42</v>
      </c>
      <c r="B2" s="19" t="s">
        <v>43</v>
      </c>
      <c r="C2" s="19" t="s">
        <v>44</v>
      </c>
      <c r="D2" s="19" t="s">
        <v>45</v>
      </c>
      <c r="E2" s="19" t="s">
        <v>46</v>
      </c>
      <c r="F2" s="19" t="s">
        <v>47</v>
      </c>
      <c r="G2" s="20" t="s">
        <v>48</v>
      </c>
      <c r="H2" s="14"/>
      <c r="I2" s="15" t="s">
        <v>49</v>
      </c>
      <c r="J2" s="15" t="s">
        <v>50</v>
      </c>
      <c r="K2" s="15" t="s">
        <v>51</v>
      </c>
      <c r="L2" s="15" t="s">
        <v>52</v>
      </c>
    </row>
    <row r="3" spans="1:12" ht="15" thickBot="1" x14ac:dyDescent="0.35">
      <c r="A3" s="21" t="s">
        <v>53</v>
      </c>
      <c r="B3" s="22" t="s">
        <v>54</v>
      </c>
      <c r="C3" s="23">
        <v>11</v>
      </c>
      <c r="D3" s="24">
        <v>143</v>
      </c>
      <c r="E3" s="25" t="s">
        <v>55</v>
      </c>
      <c r="F3" s="22" t="s">
        <v>56</v>
      </c>
      <c r="G3" s="25" t="s">
        <v>57</v>
      </c>
      <c r="H3" s="11"/>
      <c r="I3" s="13" t="s">
        <v>22</v>
      </c>
      <c r="J3" s="13" t="s">
        <v>22</v>
      </c>
      <c r="K3" s="13" t="s">
        <v>22</v>
      </c>
      <c r="L3" s="13" t="s">
        <v>22</v>
      </c>
    </row>
    <row r="4" spans="1:12" ht="15" thickBot="1" x14ac:dyDescent="0.35">
      <c r="A4" s="12" t="s">
        <v>58</v>
      </c>
      <c r="B4" s="26" t="s">
        <v>59</v>
      </c>
      <c r="C4" s="27">
        <v>13</v>
      </c>
      <c r="D4" s="28">
        <v>138</v>
      </c>
      <c r="E4" s="29" t="s">
        <v>55</v>
      </c>
      <c r="F4" s="26" t="s">
        <v>60</v>
      </c>
      <c r="G4" s="29" t="s">
        <v>61</v>
      </c>
      <c r="H4" s="11"/>
      <c r="I4" s="13"/>
      <c r="J4" s="13"/>
      <c r="K4" s="11"/>
      <c r="L4" s="11"/>
    </row>
    <row r="5" spans="1:12" ht="15" thickBot="1" x14ac:dyDescent="0.35">
      <c r="A5" s="12" t="s">
        <v>62</v>
      </c>
      <c r="B5" s="26" t="s">
        <v>63</v>
      </c>
      <c r="C5" s="27">
        <v>15</v>
      </c>
      <c r="D5" s="28">
        <v>124</v>
      </c>
      <c r="E5" s="29" t="s">
        <v>55</v>
      </c>
      <c r="F5" s="26" t="s">
        <v>56</v>
      </c>
      <c r="G5" s="29" t="s">
        <v>64</v>
      </c>
      <c r="H5" s="11"/>
      <c r="I5" s="13"/>
      <c r="J5" s="13"/>
      <c r="K5" s="11"/>
      <c r="L5" s="11"/>
    </row>
    <row r="6" spans="1:12" ht="15" thickBot="1" x14ac:dyDescent="0.35">
      <c r="A6" s="12" t="s">
        <v>65</v>
      </c>
      <c r="B6" s="26" t="s">
        <v>66</v>
      </c>
      <c r="C6" s="27">
        <v>14</v>
      </c>
      <c r="D6" s="28">
        <v>122</v>
      </c>
      <c r="E6" s="29" t="s">
        <v>55</v>
      </c>
      <c r="F6" s="26" t="s">
        <v>60</v>
      </c>
      <c r="G6" s="29"/>
      <c r="H6" s="11"/>
      <c r="I6" s="13"/>
      <c r="J6" s="13"/>
      <c r="K6" s="11"/>
      <c r="L6" s="11"/>
    </row>
    <row r="7" spans="1:12" ht="15" thickBot="1" x14ac:dyDescent="0.35">
      <c r="A7" s="12" t="s">
        <v>67</v>
      </c>
      <c r="B7" s="26" t="s">
        <v>68</v>
      </c>
      <c r="C7" s="27">
        <v>13</v>
      </c>
      <c r="D7" s="28">
        <v>123</v>
      </c>
      <c r="E7" s="29" t="s">
        <v>55</v>
      </c>
      <c r="F7" s="26" t="s">
        <v>69</v>
      </c>
      <c r="G7" s="29" t="s">
        <v>61</v>
      </c>
      <c r="H7" s="11"/>
      <c r="I7" s="13"/>
      <c r="J7" s="13"/>
      <c r="K7" s="11"/>
      <c r="L7" s="11"/>
    </row>
    <row r="8" spans="1:12" ht="15" thickBot="1" x14ac:dyDescent="0.35">
      <c r="A8" s="12" t="s">
        <v>70</v>
      </c>
      <c r="B8" s="26" t="s">
        <v>71</v>
      </c>
      <c r="C8" s="27">
        <v>14</v>
      </c>
      <c r="D8" s="28">
        <v>143</v>
      </c>
      <c r="E8" s="29" t="s">
        <v>72</v>
      </c>
      <c r="F8" s="26" t="s">
        <v>60</v>
      </c>
      <c r="G8" s="29"/>
      <c r="H8" s="11"/>
      <c r="I8" s="13"/>
      <c r="J8" s="13"/>
      <c r="K8" s="11"/>
      <c r="L8" s="11"/>
    </row>
    <row r="9" spans="1:12" ht="15" thickBot="1" x14ac:dyDescent="0.35">
      <c r="A9" s="12" t="s">
        <v>73</v>
      </c>
      <c r="B9" s="26" t="s">
        <v>74</v>
      </c>
      <c r="C9" s="27">
        <v>14</v>
      </c>
      <c r="D9" s="28">
        <v>147</v>
      </c>
      <c r="E9" s="29" t="s">
        <v>72</v>
      </c>
      <c r="F9" s="26" t="s">
        <v>60</v>
      </c>
      <c r="G9" s="29" t="s">
        <v>75</v>
      </c>
      <c r="H9" s="11"/>
      <c r="I9" s="13"/>
      <c r="J9" s="13"/>
      <c r="K9" s="11"/>
      <c r="L9" s="11"/>
    </row>
    <row r="10" spans="1:12" ht="15" thickBot="1" x14ac:dyDescent="0.35">
      <c r="A10" s="12" t="s">
        <v>76</v>
      </c>
      <c r="B10" s="26" t="s">
        <v>77</v>
      </c>
      <c r="C10" s="27">
        <v>11</v>
      </c>
      <c r="D10" s="28">
        <v>137</v>
      </c>
      <c r="E10" s="29" t="s">
        <v>72</v>
      </c>
      <c r="F10" s="26" t="s">
        <v>78</v>
      </c>
      <c r="G10" s="29" t="s">
        <v>61</v>
      </c>
      <c r="H10" s="11"/>
      <c r="I10" s="13"/>
      <c r="J10" s="13"/>
      <c r="K10" s="11"/>
      <c r="L10" s="11"/>
    </row>
    <row r="11" spans="1:12" ht="15" thickBot="1" x14ac:dyDescent="0.35">
      <c r="A11" s="12" t="s">
        <v>79</v>
      </c>
      <c r="B11" s="26" t="s">
        <v>80</v>
      </c>
      <c r="C11" s="27">
        <v>12</v>
      </c>
      <c r="D11" s="28">
        <v>142</v>
      </c>
      <c r="E11" s="29" t="s">
        <v>55</v>
      </c>
      <c r="F11" s="26" t="s">
        <v>60</v>
      </c>
      <c r="G11" s="29"/>
      <c r="H11" s="11"/>
      <c r="I11" s="13"/>
      <c r="J11" s="13"/>
      <c r="K11" s="11"/>
      <c r="L11" s="11"/>
    </row>
    <row r="12" spans="1:12" ht="15" thickBot="1" x14ac:dyDescent="0.35">
      <c r="A12" s="12" t="s">
        <v>81</v>
      </c>
      <c r="B12" s="26" t="s">
        <v>82</v>
      </c>
      <c r="C12" s="27">
        <v>15</v>
      </c>
      <c r="D12" s="28">
        <v>123</v>
      </c>
      <c r="E12" s="29" t="s">
        <v>55</v>
      </c>
      <c r="F12" s="26" t="s">
        <v>56</v>
      </c>
      <c r="G12" s="29"/>
      <c r="H12" s="11"/>
      <c r="I12" s="13"/>
      <c r="J12" s="13"/>
      <c r="K12" s="11"/>
      <c r="L12" s="11"/>
    </row>
    <row r="13" spans="1:12" ht="15" thickBot="1" x14ac:dyDescent="0.35">
      <c r="A13" s="12" t="s">
        <v>83</v>
      </c>
      <c r="B13" s="26" t="s">
        <v>84</v>
      </c>
      <c r="C13" s="27">
        <v>14</v>
      </c>
      <c r="D13" s="28">
        <v>150</v>
      </c>
      <c r="E13" s="29" t="s">
        <v>55</v>
      </c>
      <c r="F13" s="26" t="s">
        <v>78</v>
      </c>
      <c r="G13" s="29"/>
      <c r="H13" s="11"/>
      <c r="I13" s="13"/>
      <c r="J13" s="13"/>
      <c r="K13" s="11"/>
      <c r="L13" s="11"/>
    </row>
    <row r="14" spans="1:12" ht="15" thickBot="1" x14ac:dyDescent="0.35">
      <c r="A14" s="12" t="s">
        <v>85</v>
      </c>
      <c r="B14" s="26" t="s">
        <v>54</v>
      </c>
      <c r="C14" s="27">
        <v>13</v>
      </c>
      <c r="D14" s="28">
        <v>145</v>
      </c>
      <c r="E14" s="29" t="s">
        <v>55</v>
      </c>
      <c r="F14" s="26" t="s">
        <v>69</v>
      </c>
      <c r="G14" s="29" t="s">
        <v>64</v>
      </c>
      <c r="H14" s="11"/>
      <c r="I14" s="13"/>
      <c r="J14" s="13"/>
      <c r="K14" s="11"/>
      <c r="L14" s="11"/>
    </row>
    <row r="15" spans="1:12" ht="15" thickBot="1" x14ac:dyDescent="0.35">
      <c r="A15" s="12" t="s">
        <v>86</v>
      </c>
      <c r="B15" s="26" t="s">
        <v>87</v>
      </c>
      <c r="C15" s="27">
        <v>12</v>
      </c>
      <c r="D15" s="28">
        <v>136</v>
      </c>
      <c r="E15" s="29" t="s">
        <v>72</v>
      </c>
      <c r="F15" s="26" t="s">
        <v>78</v>
      </c>
      <c r="G15" s="29" t="s">
        <v>88</v>
      </c>
      <c r="H15" s="11"/>
      <c r="I15" s="13"/>
      <c r="J15" s="13"/>
      <c r="K15" s="11"/>
      <c r="L15" s="11"/>
    </row>
    <row r="16" spans="1:12" ht="15" thickBot="1" x14ac:dyDescent="0.35">
      <c r="A16" s="12" t="s">
        <v>89</v>
      </c>
      <c r="B16" s="26" t="s">
        <v>90</v>
      </c>
      <c r="C16" s="27">
        <v>13</v>
      </c>
      <c r="D16" s="28">
        <v>145</v>
      </c>
      <c r="E16" s="29" t="s">
        <v>72</v>
      </c>
      <c r="F16" s="26" t="s">
        <v>78</v>
      </c>
      <c r="G16" s="29"/>
      <c r="H16" s="11"/>
      <c r="I16" s="13"/>
      <c r="J16" s="13"/>
      <c r="K16" s="11"/>
      <c r="L16" s="11"/>
    </row>
    <row r="17" spans="1:10" ht="15" thickBot="1" x14ac:dyDescent="0.35">
      <c r="A17" s="12" t="s">
        <v>91</v>
      </c>
      <c r="B17" s="26" t="s">
        <v>92</v>
      </c>
      <c r="C17" s="27">
        <v>13</v>
      </c>
      <c r="D17" s="28">
        <v>146</v>
      </c>
      <c r="E17" s="29" t="s">
        <v>55</v>
      </c>
      <c r="F17" s="26" t="s">
        <v>69</v>
      </c>
      <c r="G17" s="29" t="s">
        <v>75</v>
      </c>
      <c r="H17" s="11"/>
      <c r="I17" s="13"/>
      <c r="J17" s="13"/>
    </row>
    <row r="18" spans="1:10" ht="15" thickBot="1" x14ac:dyDescent="0.35">
      <c r="A18" s="12" t="s">
        <v>93</v>
      </c>
      <c r="B18" s="26" t="s">
        <v>94</v>
      </c>
      <c r="C18" s="27">
        <v>12</v>
      </c>
      <c r="D18" s="28">
        <v>124</v>
      </c>
      <c r="E18" s="29" t="s">
        <v>55</v>
      </c>
      <c r="F18" s="26" t="s">
        <v>78</v>
      </c>
      <c r="G18" s="29" t="s">
        <v>95</v>
      </c>
      <c r="H18" s="11"/>
      <c r="I18" s="13"/>
      <c r="J18" s="13"/>
    </row>
    <row r="19" spans="1:10" ht="15" thickBot="1" x14ac:dyDescent="0.35">
      <c r="A19" s="12" t="s">
        <v>96</v>
      </c>
      <c r="B19" s="26" t="s">
        <v>97</v>
      </c>
      <c r="C19" s="27">
        <v>13</v>
      </c>
      <c r="D19" s="28">
        <v>124</v>
      </c>
      <c r="E19" s="29" t="s">
        <v>55</v>
      </c>
      <c r="F19" s="26" t="s">
        <v>69</v>
      </c>
      <c r="G19" s="29" t="s">
        <v>61</v>
      </c>
      <c r="H19" s="11"/>
      <c r="I19" s="13"/>
      <c r="J19" s="13"/>
    </row>
    <row r="20" spans="1:10" ht="15" thickBot="1" x14ac:dyDescent="0.35">
      <c r="A20" s="12" t="s">
        <v>98</v>
      </c>
      <c r="B20" s="26" t="s">
        <v>54</v>
      </c>
      <c r="C20" s="27">
        <v>15</v>
      </c>
      <c r="D20" s="28">
        <v>137</v>
      </c>
      <c r="E20" s="29" t="s">
        <v>55</v>
      </c>
      <c r="F20" s="26" t="s">
        <v>56</v>
      </c>
      <c r="G20" s="29"/>
      <c r="H20" s="11"/>
      <c r="I20" s="13"/>
      <c r="J20" s="13"/>
    </row>
    <row r="21" spans="1:10" ht="15" thickBot="1" x14ac:dyDescent="0.35">
      <c r="A21" s="12" t="s">
        <v>99</v>
      </c>
      <c r="B21" s="26" t="s">
        <v>100</v>
      </c>
      <c r="C21" s="27">
        <v>14</v>
      </c>
      <c r="D21" s="28">
        <v>148</v>
      </c>
      <c r="E21" s="29" t="s">
        <v>72</v>
      </c>
      <c r="F21" s="26" t="s">
        <v>56</v>
      </c>
      <c r="G21" s="29" t="s">
        <v>75</v>
      </c>
      <c r="H21" s="11"/>
      <c r="I21" s="13"/>
      <c r="J21" s="13"/>
    </row>
    <row r="22" spans="1:10" ht="15" thickBot="1" x14ac:dyDescent="0.35">
      <c r="A22" s="12" t="s">
        <v>101</v>
      </c>
      <c r="B22" s="26" t="s">
        <v>102</v>
      </c>
      <c r="C22" s="27">
        <v>14</v>
      </c>
      <c r="D22" s="28">
        <v>144</v>
      </c>
      <c r="E22" s="29" t="s">
        <v>55</v>
      </c>
      <c r="F22" s="26" t="s">
        <v>56</v>
      </c>
      <c r="G22" s="29" t="s">
        <v>88</v>
      </c>
      <c r="H22" s="11"/>
      <c r="I22" s="13"/>
      <c r="J22" s="13"/>
    </row>
    <row r="23" spans="1:10" ht="15" thickBot="1" x14ac:dyDescent="0.35">
      <c r="A23" s="12" t="s">
        <v>101</v>
      </c>
      <c r="B23" s="26" t="s">
        <v>103</v>
      </c>
      <c r="C23" s="27">
        <v>12</v>
      </c>
      <c r="D23" s="28">
        <v>143</v>
      </c>
      <c r="E23" s="29" t="s">
        <v>72</v>
      </c>
      <c r="F23" s="26" t="s">
        <v>69</v>
      </c>
      <c r="G23" s="29"/>
      <c r="H23" s="11"/>
      <c r="I23" s="13"/>
      <c r="J23" s="13"/>
    </row>
    <row r="24" spans="1:10" ht="15" thickBot="1" x14ac:dyDescent="0.35">
      <c r="A24" s="12" t="s">
        <v>101</v>
      </c>
      <c r="B24" s="26" t="s">
        <v>104</v>
      </c>
      <c r="C24" s="27">
        <v>13</v>
      </c>
      <c r="D24" s="28">
        <v>145</v>
      </c>
      <c r="E24" s="29" t="s">
        <v>55</v>
      </c>
      <c r="F24" s="26" t="s">
        <v>69</v>
      </c>
      <c r="G24" s="29"/>
      <c r="H24" s="11"/>
      <c r="I24" s="13"/>
      <c r="J24" s="13"/>
    </row>
    <row r="25" spans="1:10" ht="15" thickBot="1" x14ac:dyDescent="0.35">
      <c r="A25" s="12" t="s">
        <v>105</v>
      </c>
      <c r="B25" s="26" t="s">
        <v>106</v>
      </c>
      <c r="C25" s="27">
        <v>12</v>
      </c>
      <c r="D25" s="28">
        <v>124</v>
      </c>
      <c r="E25" s="29" t="s">
        <v>72</v>
      </c>
      <c r="F25" s="26" t="s">
        <v>78</v>
      </c>
      <c r="G25" s="29" t="s">
        <v>57</v>
      </c>
      <c r="H25" s="11"/>
      <c r="I25" s="13"/>
      <c r="J25" s="13"/>
    </row>
    <row r="26" spans="1:10" ht="15" thickBot="1" x14ac:dyDescent="0.35">
      <c r="A26" s="12" t="s">
        <v>107</v>
      </c>
      <c r="B26" s="26" t="s">
        <v>80</v>
      </c>
      <c r="C26" s="27">
        <v>10</v>
      </c>
      <c r="D26" s="28">
        <v>145</v>
      </c>
      <c r="E26" s="29" t="s">
        <v>55</v>
      </c>
      <c r="F26" s="26" t="s">
        <v>56</v>
      </c>
      <c r="G26" s="29" t="s">
        <v>61</v>
      </c>
      <c r="H26" s="11"/>
      <c r="I26" s="13"/>
      <c r="J26" s="13"/>
    </row>
    <row r="27" spans="1:10" ht="15" thickBot="1" x14ac:dyDescent="0.35">
      <c r="A27" s="12" t="s">
        <v>108</v>
      </c>
      <c r="B27" s="26" t="s">
        <v>109</v>
      </c>
      <c r="C27" s="27">
        <v>10</v>
      </c>
      <c r="D27" s="28">
        <v>144</v>
      </c>
      <c r="E27" s="29" t="s">
        <v>55</v>
      </c>
      <c r="F27" s="26" t="s">
        <v>56</v>
      </c>
      <c r="G27" s="29"/>
      <c r="H27" s="11"/>
      <c r="I27" s="13"/>
      <c r="J27" s="13"/>
    </row>
    <row r="28" spans="1:10" ht="15" thickBot="1" x14ac:dyDescent="0.35">
      <c r="A28" s="12" t="s">
        <v>110</v>
      </c>
      <c r="B28" s="26" t="s">
        <v>111</v>
      </c>
      <c r="C28" s="27">
        <v>13</v>
      </c>
      <c r="D28" s="28">
        <v>125</v>
      </c>
      <c r="E28" s="29" t="s">
        <v>55</v>
      </c>
      <c r="F28" s="26" t="s">
        <v>69</v>
      </c>
      <c r="G28" s="29" t="s">
        <v>61</v>
      </c>
      <c r="H28" s="11"/>
      <c r="I28" s="13"/>
      <c r="J28" s="13"/>
    </row>
    <row r="29" spans="1:10" ht="15" thickBot="1" x14ac:dyDescent="0.35">
      <c r="A29" s="12" t="s">
        <v>112</v>
      </c>
      <c r="B29" s="26" t="s">
        <v>113</v>
      </c>
      <c r="C29" s="27">
        <v>11</v>
      </c>
      <c r="D29" s="28">
        <v>146</v>
      </c>
      <c r="E29" s="29" t="s">
        <v>55</v>
      </c>
      <c r="F29" s="26" t="s">
        <v>56</v>
      </c>
      <c r="G29" s="29" t="s">
        <v>88</v>
      </c>
      <c r="H29" s="11"/>
      <c r="I29" s="13"/>
      <c r="J29" s="13"/>
    </row>
    <row r="30" spans="1:10" ht="15" thickBot="1" x14ac:dyDescent="0.35">
      <c r="A30" s="12" t="s">
        <v>114</v>
      </c>
      <c r="B30" s="26" t="s">
        <v>97</v>
      </c>
      <c r="C30" s="27">
        <v>15</v>
      </c>
      <c r="D30" s="28">
        <v>129</v>
      </c>
      <c r="E30" s="29" t="s">
        <v>55</v>
      </c>
      <c r="F30" s="26" t="s">
        <v>69</v>
      </c>
      <c r="G30" s="29" t="s">
        <v>57</v>
      </c>
      <c r="H30" s="11"/>
      <c r="I30" s="13"/>
      <c r="J30" s="13"/>
    </row>
    <row r="31" spans="1:10" ht="15" thickBot="1" x14ac:dyDescent="0.35">
      <c r="A31" s="12" t="s">
        <v>115</v>
      </c>
      <c r="B31" s="26" t="s">
        <v>116</v>
      </c>
      <c r="C31" s="27">
        <v>13</v>
      </c>
      <c r="D31" s="28">
        <v>115</v>
      </c>
      <c r="E31" s="29" t="s">
        <v>72</v>
      </c>
      <c r="F31" s="26" t="s">
        <v>78</v>
      </c>
      <c r="G31" s="29" t="s">
        <v>61</v>
      </c>
      <c r="H31" s="11"/>
      <c r="I31" s="13"/>
      <c r="J31" s="13"/>
    </row>
    <row r="32" spans="1:10" ht="15" thickBot="1" x14ac:dyDescent="0.35">
      <c r="A32" s="12" t="s">
        <v>117</v>
      </c>
      <c r="B32" s="26" t="s">
        <v>118</v>
      </c>
      <c r="C32" s="27">
        <v>14</v>
      </c>
      <c r="D32" s="28">
        <v>126</v>
      </c>
      <c r="E32" s="29" t="s">
        <v>55</v>
      </c>
      <c r="F32" s="26" t="s">
        <v>69</v>
      </c>
      <c r="G32" s="29"/>
      <c r="H32" s="11"/>
      <c r="I32" s="13"/>
      <c r="J32" s="13"/>
    </row>
    <row r="33" spans="1:10" ht="15" thickBot="1" x14ac:dyDescent="0.35">
      <c r="A33" s="12" t="s">
        <v>119</v>
      </c>
      <c r="B33" s="26" t="s">
        <v>54</v>
      </c>
      <c r="C33" s="27">
        <v>13</v>
      </c>
      <c r="D33" s="28">
        <v>148</v>
      </c>
      <c r="E33" s="29" t="s">
        <v>55</v>
      </c>
      <c r="F33" s="26" t="s">
        <v>78</v>
      </c>
      <c r="G33" s="29"/>
      <c r="H33" s="11"/>
      <c r="I33" s="13"/>
      <c r="J33" s="13"/>
    </row>
    <row r="34" spans="1:10" ht="15" thickBot="1" x14ac:dyDescent="0.35">
      <c r="A34" s="12" t="s">
        <v>120</v>
      </c>
      <c r="B34" s="26" t="s">
        <v>121</v>
      </c>
      <c r="C34" s="27">
        <v>13</v>
      </c>
      <c r="D34" s="28">
        <v>138</v>
      </c>
      <c r="E34" s="29" t="s">
        <v>72</v>
      </c>
      <c r="F34" s="26" t="s">
        <v>69</v>
      </c>
      <c r="G34" s="29"/>
      <c r="H34" s="11"/>
      <c r="I34" s="13"/>
      <c r="J34" s="13"/>
    </row>
    <row r="35" spans="1:10" ht="15" thickBot="1" x14ac:dyDescent="0.35">
      <c r="A35" s="12" t="s">
        <v>122</v>
      </c>
      <c r="B35" s="26" t="s">
        <v>63</v>
      </c>
      <c r="C35" s="27">
        <v>15</v>
      </c>
      <c r="D35" s="28">
        <v>134</v>
      </c>
      <c r="E35" s="29" t="s">
        <v>55</v>
      </c>
      <c r="F35" s="26" t="s">
        <v>78</v>
      </c>
      <c r="G35" s="29" t="s">
        <v>88</v>
      </c>
      <c r="H35" s="11"/>
      <c r="I35" s="13"/>
      <c r="J35" s="13"/>
    </row>
    <row r="36" spans="1:10" ht="15" thickBot="1" x14ac:dyDescent="0.35">
      <c r="A36" s="12" t="s">
        <v>123</v>
      </c>
      <c r="B36" s="26" t="s">
        <v>54</v>
      </c>
      <c r="C36" s="27">
        <v>12</v>
      </c>
      <c r="D36" s="28">
        <v>139</v>
      </c>
      <c r="E36" s="29" t="s">
        <v>55</v>
      </c>
      <c r="F36" s="26" t="s">
        <v>60</v>
      </c>
      <c r="G36" s="29" t="s">
        <v>88</v>
      </c>
      <c r="H36" s="11"/>
      <c r="I36" s="13"/>
      <c r="J36" s="13"/>
    </row>
    <row r="37" spans="1:10" ht="15" thickBot="1" x14ac:dyDescent="0.35">
      <c r="A37" s="12" t="s">
        <v>124</v>
      </c>
      <c r="B37" s="26" t="s">
        <v>125</v>
      </c>
      <c r="C37" s="27">
        <v>11</v>
      </c>
      <c r="D37" s="28">
        <v>124</v>
      </c>
      <c r="E37" s="29" t="s">
        <v>72</v>
      </c>
      <c r="F37" s="26" t="s">
        <v>56</v>
      </c>
      <c r="G37" s="29" t="s">
        <v>57</v>
      </c>
      <c r="H37" s="11"/>
      <c r="I37" s="13"/>
      <c r="J37" s="13"/>
    </row>
    <row r="38" spans="1:10" ht="15" thickBot="1" x14ac:dyDescent="0.35">
      <c r="A38" s="12" t="s">
        <v>126</v>
      </c>
      <c r="B38" s="26" t="s">
        <v>63</v>
      </c>
      <c r="C38" s="27">
        <v>14</v>
      </c>
      <c r="D38" s="28">
        <v>127</v>
      </c>
      <c r="E38" s="29" t="s">
        <v>55</v>
      </c>
      <c r="F38" s="26" t="s">
        <v>60</v>
      </c>
      <c r="G38" s="29" t="s">
        <v>88</v>
      </c>
      <c r="H38" s="11"/>
      <c r="I38" s="13"/>
      <c r="J38" s="13"/>
    </row>
    <row r="39" spans="1:10" ht="15" thickBot="1" x14ac:dyDescent="0.35">
      <c r="A39" s="12" t="s">
        <v>127</v>
      </c>
      <c r="B39" s="26" t="s">
        <v>111</v>
      </c>
      <c r="C39" s="27">
        <v>14</v>
      </c>
      <c r="D39" s="28">
        <v>142</v>
      </c>
      <c r="E39" s="29" t="s">
        <v>55</v>
      </c>
      <c r="F39" s="26" t="s">
        <v>60</v>
      </c>
      <c r="G39" s="29"/>
      <c r="H39" s="11"/>
      <c r="I39" s="13"/>
      <c r="J39" s="13"/>
    </row>
    <row r="40" spans="1:10" ht="15" thickBot="1" x14ac:dyDescent="0.35">
      <c r="A40" s="12" t="s">
        <v>128</v>
      </c>
      <c r="B40" s="26" t="s">
        <v>103</v>
      </c>
      <c r="C40" s="27">
        <v>14</v>
      </c>
      <c r="D40" s="28">
        <v>149</v>
      </c>
      <c r="E40" s="29" t="s">
        <v>72</v>
      </c>
      <c r="F40" s="26" t="s">
        <v>78</v>
      </c>
      <c r="G40" s="29" t="s">
        <v>75</v>
      </c>
      <c r="H40" s="11"/>
      <c r="I40" s="13"/>
      <c r="J40" s="13"/>
    </row>
    <row r="41" spans="1:10" ht="15" thickBot="1" x14ac:dyDescent="0.35">
      <c r="A41" s="12" t="s">
        <v>129</v>
      </c>
      <c r="B41" s="26" t="s">
        <v>104</v>
      </c>
      <c r="C41" s="27">
        <v>14</v>
      </c>
      <c r="D41" s="28">
        <v>156</v>
      </c>
      <c r="E41" s="29" t="s">
        <v>55</v>
      </c>
      <c r="F41" s="26" t="s">
        <v>78</v>
      </c>
      <c r="G41" s="29" t="s">
        <v>88</v>
      </c>
      <c r="H41" s="11"/>
      <c r="I41" s="13"/>
      <c r="J41" s="13"/>
    </row>
    <row r="42" spans="1:10" ht="15" thickBot="1" x14ac:dyDescent="0.35">
      <c r="A42" s="12" t="s">
        <v>130</v>
      </c>
      <c r="B42" s="26" t="s">
        <v>131</v>
      </c>
      <c r="C42" s="27">
        <v>11</v>
      </c>
      <c r="D42" s="28">
        <v>128</v>
      </c>
      <c r="E42" s="29" t="s">
        <v>72</v>
      </c>
      <c r="F42" s="26" t="s">
        <v>60</v>
      </c>
      <c r="G42" s="29"/>
      <c r="H42" s="11"/>
      <c r="I42" s="13"/>
      <c r="J42" s="13"/>
    </row>
    <row r="43" spans="1:10" ht="15" thickBot="1" x14ac:dyDescent="0.35">
      <c r="A43" s="12" t="s">
        <v>132</v>
      </c>
      <c r="B43" s="26" t="s">
        <v>103</v>
      </c>
      <c r="C43" s="27">
        <v>13</v>
      </c>
      <c r="D43" s="28">
        <v>147</v>
      </c>
      <c r="E43" s="29" t="s">
        <v>72</v>
      </c>
      <c r="F43" s="26" t="s">
        <v>78</v>
      </c>
      <c r="G43" s="29" t="s">
        <v>75</v>
      </c>
      <c r="H43" s="11"/>
      <c r="I43" s="13"/>
      <c r="J43" s="13"/>
    </row>
    <row r="44" spans="1:10" ht="15" thickBot="1" x14ac:dyDescent="0.35">
      <c r="A44" s="12" t="s">
        <v>133</v>
      </c>
      <c r="B44" s="26" t="s">
        <v>66</v>
      </c>
      <c r="C44" s="27">
        <v>13</v>
      </c>
      <c r="D44" s="28">
        <v>140</v>
      </c>
      <c r="E44" s="29" t="s">
        <v>55</v>
      </c>
      <c r="F44" s="26" t="s">
        <v>60</v>
      </c>
      <c r="G44" s="29"/>
      <c r="H44" s="11"/>
      <c r="I44" s="13"/>
      <c r="J44" s="13"/>
    </row>
    <row r="45" spans="1:10" ht="15" thickBot="1" x14ac:dyDescent="0.35">
      <c r="A45" s="12" t="s">
        <v>134</v>
      </c>
      <c r="B45" s="26" t="s">
        <v>116</v>
      </c>
      <c r="C45" s="27">
        <v>11</v>
      </c>
      <c r="D45" s="28">
        <v>137</v>
      </c>
      <c r="E45" s="29" t="s">
        <v>72</v>
      </c>
      <c r="F45" s="26" t="s">
        <v>69</v>
      </c>
      <c r="G45" s="29" t="s">
        <v>75</v>
      </c>
      <c r="H45" s="11"/>
      <c r="I45" s="13"/>
      <c r="J45" s="13"/>
    </row>
    <row r="46" spans="1:10" ht="15" thickBot="1" x14ac:dyDescent="0.35">
      <c r="A46" s="12" t="s">
        <v>135</v>
      </c>
      <c r="B46" s="26" t="s">
        <v>136</v>
      </c>
      <c r="C46" s="27">
        <v>12</v>
      </c>
      <c r="D46" s="28">
        <v>138</v>
      </c>
      <c r="E46" s="29" t="s">
        <v>55</v>
      </c>
      <c r="F46" s="26" t="s">
        <v>56</v>
      </c>
      <c r="G46" s="29" t="s">
        <v>88</v>
      </c>
      <c r="H46" s="11"/>
      <c r="I46" s="13"/>
      <c r="J46" s="13"/>
    </row>
    <row r="47" spans="1:10" ht="15" thickBot="1" x14ac:dyDescent="0.35">
      <c r="A47" s="12" t="s">
        <v>137</v>
      </c>
      <c r="B47" s="26" t="s">
        <v>138</v>
      </c>
      <c r="C47" s="27">
        <v>13</v>
      </c>
      <c r="D47" s="28">
        <v>123</v>
      </c>
      <c r="E47" s="29" t="s">
        <v>72</v>
      </c>
      <c r="F47" s="26" t="s">
        <v>78</v>
      </c>
      <c r="G47" s="29" t="s">
        <v>88</v>
      </c>
      <c r="H47" s="11"/>
      <c r="I47" s="13"/>
      <c r="J47" s="13"/>
    </row>
    <row r="48" spans="1:10" ht="15" thickBot="1" x14ac:dyDescent="0.35">
      <c r="A48" s="12" t="s">
        <v>139</v>
      </c>
      <c r="B48" s="26" t="s">
        <v>140</v>
      </c>
      <c r="C48" s="27">
        <v>14</v>
      </c>
      <c r="D48" s="28">
        <v>128</v>
      </c>
      <c r="E48" s="29" t="s">
        <v>55</v>
      </c>
      <c r="F48" s="26" t="s">
        <v>60</v>
      </c>
      <c r="G48" s="29"/>
      <c r="H48" s="11"/>
      <c r="I48" s="13"/>
      <c r="J48" s="13"/>
    </row>
    <row r="49" spans="1:10" ht="15" thickBot="1" x14ac:dyDescent="0.35">
      <c r="A49" s="12" t="s">
        <v>141</v>
      </c>
      <c r="B49" s="26" t="s">
        <v>116</v>
      </c>
      <c r="C49" s="27">
        <v>12</v>
      </c>
      <c r="D49" s="28">
        <v>139</v>
      </c>
      <c r="E49" s="29" t="s">
        <v>72</v>
      </c>
      <c r="F49" s="26" t="s">
        <v>60</v>
      </c>
      <c r="G49" s="29" t="s">
        <v>88</v>
      </c>
      <c r="H49" s="11"/>
      <c r="I49" s="13"/>
      <c r="J49" s="13"/>
    </row>
    <row r="50" spans="1:10" ht="15" thickBot="1" x14ac:dyDescent="0.35">
      <c r="A50" s="12" t="s">
        <v>142</v>
      </c>
      <c r="B50" s="26" t="s">
        <v>143</v>
      </c>
      <c r="C50" s="27">
        <v>13</v>
      </c>
      <c r="D50" s="28">
        <v>129</v>
      </c>
      <c r="E50" s="29" t="s">
        <v>55</v>
      </c>
      <c r="F50" s="26" t="s">
        <v>60</v>
      </c>
      <c r="G50" s="29"/>
      <c r="H50" s="11"/>
      <c r="I50" s="13"/>
      <c r="J50" s="13"/>
    </row>
    <row r="51" spans="1:10" ht="15" thickBot="1" x14ac:dyDescent="0.35">
      <c r="A51" s="12" t="s">
        <v>144</v>
      </c>
      <c r="B51" s="26" t="s">
        <v>63</v>
      </c>
      <c r="C51" s="27">
        <v>15</v>
      </c>
      <c r="D51" s="28">
        <v>126</v>
      </c>
      <c r="E51" s="29" t="s">
        <v>55</v>
      </c>
      <c r="F51" s="26" t="s">
        <v>69</v>
      </c>
      <c r="G51" s="29"/>
      <c r="H51" s="11"/>
      <c r="I51" s="13"/>
      <c r="J51" s="13"/>
    </row>
    <row r="52" spans="1:10" ht="15" thickBot="1" x14ac:dyDescent="0.35">
      <c r="A52" s="12" t="s">
        <v>145</v>
      </c>
      <c r="B52" s="26" t="s">
        <v>146</v>
      </c>
      <c r="C52" s="27">
        <v>11</v>
      </c>
      <c r="D52" s="28">
        <v>140</v>
      </c>
      <c r="E52" s="29" t="s">
        <v>72</v>
      </c>
      <c r="F52" s="26" t="s">
        <v>60</v>
      </c>
      <c r="G52" s="29"/>
      <c r="H52" s="11"/>
      <c r="I52" s="13"/>
      <c r="J52" s="13"/>
    </row>
    <row r="53" spans="1:10" ht="15" thickBot="1" x14ac:dyDescent="0.35">
      <c r="A53" s="12" t="s">
        <v>147</v>
      </c>
      <c r="B53" s="26" t="s">
        <v>106</v>
      </c>
      <c r="C53" s="27">
        <v>13</v>
      </c>
      <c r="D53" s="28">
        <v>142</v>
      </c>
      <c r="E53" s="29" t="s">
        <v>72</v>
      </c>
      <c r="F53" s="26" t="s">
        <v>60</v>
      </c>
      <c r="G53" s="29" t="s">
        <v>57</v>
      </c>
      <c r="H53" s="11"/>
      <c r="I53" s="13"/>
      <c r="J53" s="13"/>
    </row>
    <row r="54" spans="1:10" ht="15" thickBot="1" x14ac:dyDescent="0.35">
      <c r="A54" s="12" t="s">
        <v>148</v>
      </c>
      <c r="B54" s="26" t="s">
        <v>149</v>
      </c>
      <c r="C54" s="27">
        <v>13</v>
      </c>
      <c r="D54" s="28">
        <v>116</v>
      </c>
      <c r="E54" s="29" t="s">
        <v>72</v>
      </c>
      <c r="F54" s="26" t="s">
        <v>78</v>
      </c>
      <c r="G54" s="29" t="s">
        <v>61</v>
      </c>
      <c r="H54" s="11"/>
      <c r="I54" s="13"/>
      <c r="J54" s="13"/>
    </row>
    <row r="55" spans="1:10" ht="15" thickBot="1" x14ac:dyDescent="0.35">
      <c r="A55" s="12" t="s">
        <v>150</v>
      </c>
      <c r="B55" s="26" t="s">
        <v>104</v>
      </c>
      <c r="C55" s="27">
        <v>11</v>
      </c>
      <c r="D55" s="28">
        <v>125</v>
      </c>
      <c r="E55" s="29" t="s">
        <v>55</v>
      </c>
      <c r="F55" s="26" t="s">
        <v>69</v>
      </c>
      <c r="G55" s="29"/>
      <c r="H55" s="11"/>
      <c r="I55" s="13"/>
      <c r="J55" s="13"/>
    </row>
    <row r="56" spans="1:10" ht="15" thickBot="1" x14ac:dyDescent="0.35">
      <c r="A56" s="12" t="s">
        <v>151</v>
      </c>
      <c r="B56" s="26" t="s">
        <v>116</v>
      </c>
      <c r="C56" s="27">
        <v>14</v>
      </c>
      <c r="D56" s="28">
        <v>117</v>
      </c>
      <c r="E56" s="29" t="s">
        <v>72</v>
      </c>
      <c r="F56" s="26" t="s">
        <v>78</v>
      </c>
      <c r="G56" s="29" t="s">
        <v>57</v>
      </c>
      <c r="H56" s="11"/>
      <c r="I56" s="13"/>
      <c r="J56" s="13"/>
    </row>
    <row r="57" spans="1:10" ht="15" thickBot="1" x14ac:dyDescent="0.35">
      <c r="A57" s="12" t="s">
        <v>152</v>
      </c>
      <c r="B57" s="26" t="s">
        <v>153</v>
      </c>
      <c r="C57" s="27">
        <v>13</v>
      </c>
      <c r="D57" s="28">
        <v>130</v>
      </c>
      <c r="E57" s="29" t="s">
        <v>55</v>
      </c>
      <c r="F57" s="26" t="s">
        <v>60</v>
      </c>
      <c r="G57" s="29"/>
      <c r="H57" s="11"/>
      <c r="I57" s="13"/>
      <c r="J57" s="13"/>
    </row>
    <row r="58" spans="1:10" ht="15" thickBot="1" x14ac:dyDescent="0.35">
      <c r="A58" s="12" t="s">
        <v>154</v>
      </c>
      <c r="B58" s="26" t="s">
        <v>103</v>
      </c>
      <c r="C58" s="27">
        <v>14</v>
      </c>
      <c r="D58" s="28">
        <v>118</v>
      </c>
      <c r="E58" s="29" t="s">
        <v>72</v>
      </c>
      <c r="F58" s="26" t="s">
        <v>78</v>
      </c>
      <c r="G58" s="29" t="s">
        <v>57</v>
      </c>
      <c r="H58" s="11"/>
      <c r="I58" s="13"/>
      <c r="J58" s="13"/>
    </row>
    <row r="59" spans="1:10" ht="15" thickBot="1" x14ac:dyDescent="0.35">
      <c r="A59" s="12" t="s">
        <v>155</v>
      </c>
      <c r="B59" s="26" t="s">
        <v>156</v>
      </c>
      <c r="C59" s="27">
        <v>13</v>
      </c>
      <c r="D59" s="28">
        <v>131</v>
      </c>
      <c r="E59" s="29" t="s">
        <v>55</v>
      </c>
      <c r="F59" s="26" t="s">
        <v>60</v>
      </c>
      <c r="G59" s="29"/>
      <c r="H59" s="11"/>
      <c r="I59" s="13"/>
      <c r="J59" s="13"/>
    </row>
    <row r="60" spans="1:10" ht="15" thickBot="1" x14ac:dyDescent="0.35">
      <c r="A60" s="12" t="s">
        <v>157</v>
      </c>
      <c r="B60" s="26" t="s">
        <v>59</v>
      </c>
      <c r="C60" s="27">
        <v>12</v>
      </c>
      <c r="D60" s="28">
        <v>134</v>
      </c>
      <c r="E60" s="29" t="s">
        <v>55</v>
      </c>
      <c r="F60" s="26" t="s">
        <v>78</v>
      </c>
      <c r="G60" s="29" t="s">
        <v>88</v>
      </c>
      <c r="H60" s="11"/>
      <c r="I60" s="13"/>
      <c r="J60" s="13"/>
    </row>
    <row r="61" spans="1:10" ht="15" thickBot="1" x14ac:dyDescent="0.35">
      <c r="A61" s="12" t="s">
        <v>158</v>
      </c>
      <c r="B61" s="26" t="s">
        <v>146</v>
      </c>
      <c r="C61" s="27">
        <v>12</v>
      </c>
      <c r="D61" s="28">
        <v>156</v>
      </c>
      <c r="E61" s="29" t="s">
        <v>72</v>
      </c>
      <c r="F61" s="26" t="s">
        <v>56</v>
      </c>
      <c r="G61" s="29" t="s">
        <v>88</v>
      </c>
      <c r="H61" s="11"/>
      <c r="I61" s="13"/>
      <c r="J61" s="13"/>
    </row>
    <row r="62" spans="1:10" ht="15" thickBot="1" x14ac:dyDescent="0.35">
      <c r="A62" s="12" t="s">
        <v>159</v>
      </c>
      <c r="B62" s="26" t="s">
        <v>63</v>
      </c>
      <c r="C62" s="27">
        <v>14</v>
      </c>
      <c r="D62" s="28">
        <v>144</v>
      </c>
      <c r="E62" s="29" t="s">
        <v>55</v>
      </c>
      <c r="F62" s="26" t="s">
        <v>60</v>
      </c>
      <c r="G62" s="29"/>
      <c r="H62" s="11"/>
      <c r="I62" s="13"/>
      <c r="J62" s="13"/>
    </row>
    <row r="63" spans="1:10" ht="15" thickBot="1" x14ac:dyDescent="0.35">
      <c r="A63" s="12" t="s">
        <v>160</v>
      </c>
      <c r="B63" s="26" t="s">
        <v>146</v>
      </c>
      <c r="C63" s="27">
        <v>14</v>
      </c>
      <c r="D63" s="28">
        <v>146</v>
      </c>
      <c r="E63" s="29" t="s">
        <v>72</v>
      </c>
      <c r="F63" s="26" t="s">
        <v>60</v>
      </c>
      <c r="G63" s="29" t="s">
        <v>75</v>
      </c>
      <c r="H63" s="11"/>
      <c r="I63" s="13"/>
      <c r="J63" s="13"/>
    </row>
    <row r="64" spans="1:10" ht="15" thickBot="1" x14ac:dyDescent="0.35">
      <c r="A64" s="12" t="s">
        <v>160</v>
      </c>
      <c r="B64" s="26" t="s">
        <v>121</v>
      </c>
      <c r="C64" s="27">
        <v>14</v>
      </c>
      <c r="D64" s="28">
        <v>145</v>
      </c>
      <c r="E64" s="29" t="s">
        <v>72</v>
      </c>
      <c r="F64" s="26" t="s">
        <v>78</v>
      </c>
      <c r="G64" s="29"/>
      <c r="H64" s="11"/>
      <c r="I64" s="13"/>
      <c r="J64" s="13"/>
    </row>
    <row r="65" spans="1:10" ht="15" thickBot="1" x14ac:dyDescent="0.35">
      <c r="A65" s="12" t="s">
        <v>161</v>
      </c>
      <c r="B65" s="26" t="s">
        <v>162</v>
      </c>
      <c r="C65" s="27">
        <v>11</v>
      </c>
      <c r="D65" s="28">
        <v>134</v>
      </c>
      <c r="E65" s="29" t="s">
        <v>55</v>
      </c>
      <c r="F65" s="26" t="s">
        <v>78</v>
      </c>
      <c r="G65" s="29" t="s">
        <v>95</v>
      </c>
      <c r="H65" s="11"/>
      <c r="I65" s="13"/>
      <c r="J65" s="13"/>
    </row>
    <row r="66" spans="1:10" ht="15" thickBot="1" x14ac:dyDescent="0.35">
      <c r="A66" s="12" t="s">
        <v>163</v>
      </c>
      <c r="B66" s="26" t="s">
        <v>102</v>
      </c>
      <c r="C66" s="27">
        <v>14</v>
      </c>
      <c r="D66" s="28">
        <v>132</v>
      </c>
      <c r="E66" s="29" t="s">
        <v>55</v>
      </c>
      <c r="F66" s="26" t="s">
        <v>78</v>
      </c>
      <c r="G66" s="29" t="s">
        <v>95</v>
      </c>
      <c r="H66" s="11"/>
      <c r="I66" s="13"/>
      <c r="J66" s="13"/>
    </row>
    <row r="67" spans="1:10" ht="15" thickBot="1" x14ac:dyDescent="0.35">
      <c r="A67" s="12" t="s">
        <v>164</v>
      </c>
      <c r="B67" s="26" t="s">
        <v>165</v>
      </c>
      <c r="C67" s="27">
        <v>11</v>
      </c>
      <c r="D67" s="28">
        <v>141</v>
      </c>
      <c r="E67" s="29" t="s">
        <v>55</v>
      </c>
      <c r="F67" s="26" t="s">
        <v>60</v>
      </c>
      <c r="G67" s="29" t="s">
        <v>88</v>
      </c>
      <c r="H67" s="11"/>
      <c r="I67" s="13"/>
      <c r="J67" s="13"/>
    </row>
    <row r="68" spans="1:10" ht="15" thickBot="1" x14ac:dyDescent="0.35">
      <c r="A68" s="12" t="s">
        <v>166</v>
      </c>
      <c r="B68" s="26" t="s">
        <v>138</v>
      </c>
      <c r="C68" s="27">
        <v>13</v>
      </c>
      <c r="D68" s="28">
        <v>119</v>
      </c>
      <c r="E68" s="29" t="s">
        <v>72</v>
      </c>
      <c r="F68" s="26" t="s">
        <v>78</v>
      </c>
      <c r="G68" s="29" t="s">
        <v>57</v>
      </c>
      <c r="H68" s="11"/>
      <c r="I68" s="13"/>
      <c r="J68" s="13"/>
    </row>
    <row r="69" spans="1:10" ht="15" thickBot="1" x14ac:dyDescent="0.35">
      <c r="A69" s="12" t="s">
        <v>167</v>
      </c>
      <c r="B69" s="26" t="s">
        <v>168</v>
      </c>
      <c r="C69" s="27">
        <v>13</v>
      </c>
      <c r="D69" s="28">
        <v>134</v>
      </c>
      <c r="E69" s="29" t="s">
        <v>55</v>
      </c>
      <c r="F69" s="26" t="s">
        <v>78</v>
      </c>
      <c r="G69" s="29"/>
      <c r="H69" s="11"/>
      <c r="I69" s="13"/>
      <c r="J69" s="13"/>
    </row>
    <row r="70" spans="1:10" ht="15" thickBot="1" x14ac:dyDescent="0.35">
      <c r="A70" s="12" t="s">
        <v>167</v>
      </c>
      <c r="B70" s="26" t="s">
        <v>104</v>
      </c>
      <c r="C70" s="27">
        <v>15</v>
      </c>
      <c r="D70" s="28">
        <v>156</v>
      </c>
      <c r="E70" s="29" t="s">
        <v>55</v>
      </c>
      <c r="F70" s="26" t="s">
        <v>69</v>
      </c>
      <c r="G70" s="29" t="s">
        <v>95</v>
      </c>
      <c r="H70" s="11"/>
      <c r="I70" s="13"/>
      <c r="J70" s="13"/>
    </row>
    <row r="71" spans="1:10" ht="15" thickBot="1" x14ac:dyDescent="0.35">
      <c r="A71" s="12" t="s">
        <v>169</v>
      </c>
      <c r="B71" s="26" t="s">
        <v>170</v>
      </c>
      <c r="C71" s="27">
        <v>14</v>
      </c>
      <c r="D71" s="28">
        <v>120</v>
      </c>
      <c r="E71" s="29" t="s">
        <v>72</v>
      </c>
      <c r="F71" s="26" t="s">
        <v>60</v>
      </c>
      <c r="G71" s="29" t="s">
        <v>88</v>
      </c>
      <c r="H71" s="11"/>
      <c r="I71" s="13"/>
      <c r="J71" s="13"/>
    </row>
    <row r="72" spans="1:10" ht="15" thickBot="1" x14ac:dyDescent="0.35">
      <c r="A72" s="12" t="s">
        <v>171</v>
      </c>
      <c r="B72" s="26" t="s">
        <v>111</v>
      </c>
      <c r="C72" s="27">
        <v>12</v>
      </c>
      <c r="D72" s="28">
        <v>137</v>
      </c>
      <c r="E72" s="29" t="s">
        <v>55</v>
      </c>
      <c r="F72" s="26" t="s">
        <v>56</v>
      </c>
      <c r="G72" s="29" t="s">
        <v>75</v>
      </c>
      <c r="H72" s="11"/>
      <c r="I72" s="13"/>
      <c r="J72" s="13"/>
    </row>
    <row r="73" spans="1:10" ht="15" thickBot="1" x14ac:dyDescent="0.35">
      <c r="A73" s="12" t="s">
        <v>172</v>
      </c>
      <c r="B73" s="26" t="s">
        <v>173</v>
      </c>
      <c r="C73" s="27">
        <v>14</v>
      </c>
      <c r="D73" s="28">
        <v>112</v>
      </c>
      <c r="E73" s="29" t="s">
        <v>55</v>
      </c>
      <c r="F73" s="26" t="s">
        <v>69</v>
      </c>
      <c r="G73" s="29"/>
      <c r="H73" s="11"/>
      <c r="I73" s="13"/>
      <c r="J73" s="13"/>
    </row>
    <row r="74" spans="1:10" ht="15" thickBot="1" x14ac:dyDescent="0.35">
      <c r="A74" s="12" t="s">
        <v>174</v>
      </c>
      <c r="B74" s="26" t="s">
        <v>175</v>
      </c>
      <c r="C74" s="27">
        <v>14</v>
      </c>
      <c r="D74" s="28">
        <v>121</v>
      </c>
      <c r="E74" s="29" t="s">
        <v>72</v>
      </c>
      <c r="F74" s="26" t="s">
        <v>69</v>
      </c>
      <c r="G74" s="29" t="s">
        <v>57</v>
      </c>
      <c r="H74" s="11"/>
      <c r="I74" s="13"/>
      <c r="J74" s="13"/>
    </row>
    <row r="75" spans="1:10" ht="15" thickBot="1" x14ac:dyDescent="0.35">
      <c r="A75" s="12" t="s">
        <v>176</v>
      </c>
      <c r="B75" s="26" t="s">
        <v>177</v>
      </c>
      <c r="C75" s="27">
        <v>12</v>
      </c>
      <c r="D75" s="28">
        <v>141</v>
      </c>
      <c r="E75" s="29" t="s">
        <v>55</v>
      </c>
      <c r="F75" s="26" t="s">
        <v>78</v>
      </c>
      <c r="G75" s="29" t="s">
        <v>61</v>
      </c>
      <c r="H75" s="11"/>
      <c r="I75" s="13"/>
      <c r="J75" s="13"/>
    </row>
    <row r="76" spans="1:10" ht="15" thickBot="1" x14ac:dyDescent="0.35">
      <c r="A76" s="12" t="s">
        <v>178</v>
      </c>
      <c r="B76" s="26" t="s">
        <v>59</v>
      </c>
      <c r="C76" s="27">
        <v>14</v>
      </c>
      <c r="D76" s="28">
        <v>149</v>
      </c>
      <c r="E76" s="29" t="s">
        <v>55</v>
      </c>
      <c r="F76" s="26" t="s">
        <v>78</v>
      </c>
      <c r="G76" s="29"/>
      <c r="H76" s="11"/>
      <c r="I76" s="13"/>
      <c r="J76" s="13"/>
    </row>
    <row r="77" spans="1:10" ht="15" thickBot="1" x14ac:dyDescent="0.35">
      <c r="A77" s="12" t="s">
        <v>178</v>
      </c>
      <c r="B77" s="26" t="s">
        <v>103</v>
      </c>
      <c r="C77" s="27">
        <v>12</v>
      </c>
      <c r="D77" s="28">
        <v>124</v>
      </c>
      <c r="E77" s="29" t="s">
        <v>72</v>
      </c>
      <c r="F77" s="26" t="s">
        <v>56</v>
      </c>
      <c r="G77" s="29"/>
      <c r="H77" s="11"/>
      <c r="I77" s="13"/>
      <c r="J77" s="13"/>
    </row>
    <row r="78" spans="1:10" ht="15" thickBot="1" x14ac:dyDescent="0.35">
      <c r="A78" s="12" t="s">
        <v>179</v>
      </c>
      <c r="B78" s="26" t="s">
        <v>87</v>
      </c>
      <c r="C78" s="27">
        <v>12</v>
      </c>
      <c r="D78" s="28">
        <v>144</v>
      </c>
      <c r="E78" s="29" t="s">
        <v>72</v>
      </c>
      <c r="F78" s="26" t="s">
        <v>60</v>
      </c>
      <c r="G78" s="29" t="s">
        <v>88</v>
      </c>
      <c r="H78" s="11"/>
      <c r="I78" s="13"/>
      <c r="J78" s="13"/>
    </row>
    <row r="79" spans="1:10" ht="15" thickBot="1" x14ac:dyDescent="0.35">
      <c r="A79" s="12" t="s">
        <v>180</v>
      </c>
      <c r="B79" s="26" t="s">
        <v>113</v>
      </c>
      <c r="C79" s="27">
        <v>14</v>
      </c>
      <c r="D79" s="28">
        <v>123</v>
      </c>
      <c r="E79" s="29" t="s">
        <v>55</v>
      </c>
      <c r="F79" s="26" t="s">
        <v>56</v>
      </c>
      <c r="G79" s="29" t="s">
        <v>75</v>
      </c>
      <c r="H79" s="11"/>
      <c r="I79" s="13"/>
      <c r="J79" s="13"/>
    </row>
    <row r="80" spans="1:10" ht="15" thickBot="1" x14ac:dyDescent="0.35">
      <c r="A80" s="12" t="s">
        <v>181</v>
      </c>
      <c r="B80" s="26" t="s">
        <v>113</v>
      </c>
      <c r="C80" s="27">
        <v>11</v>
      </c>
      <c r="D80" s="28">
        <v>135</v>
      </c>
      <c r="E80" s="29" t="s">
        <v>55</v>
      </c>
      <c r="F80" s="26" t="s">
        <v>78</v>
      </c>
      <c r="G80" s="29" t="s">
        <v>61</v>
      </c>
      <c r="H80" s="11"/>
      <c r="I80" s="13"/>
      <c r="J80" s="13"/>
    </row>
    <row r="81" spans="1:10" ht="15" thickBot="1" x14ac:dyDescent="0.35">
      <c r="A81" s="12" t="s">
        <v>182</v>
      </c>
      <c r="B81" s="26" t="s">
        <v>183</v>
      </c>
      <c r="C81" s="27">
        <v>14</v>
      </c>
      <c r="D81" s="28">
        <v>113</v>
      </c>
      <c r="E81" s="29" t="s">
        <v>55</v>
      </c>
      <c r="F81" s="26" t="s">
        <v>69</v>
      </c>
      <c r="G81" s="29"/>
      <c r="H81" s="11"/>
      <c r="I81" s="13"/>
      <c r="J81" s="13"/>
    </row>
    <row r="82" spans="1:10" ht="15" thickBot="1" x14ac:dyDescent="0.35">
      <c r="A82" s="12" t="s">
        <v>184</v>
      </c>
      <c r="B82" s="26" t="s">
        <v>185</v>
      </c>
      <c r="C82" s="27">
        <v>11</v>
      </c>
      <c r="D82" s="28">
        <v>142</v>
      </c>
      <c r="E82" s="29" t="s">
        <v>72</v>
      </c>
      <c r="F82" s="26" t="s">
        <v>56</v>
      </c>
      <c r="G82" s="29" t="s">
        <v>57</v>
      </c>
      <c r="H82" s="11"/>
      <c r="I82" s="13"/>
      <c r="J82" s="13"/>
    </row>
    <row r="83" spans="1:10" ht="15" thickBot="1" x14ac:dyDescent="0.35">
      <c r="A83" s="12" t="s">
        <v>186</v>
      </c>
      <c r="B83" s="26" t="s">
        <v>187</v>
      </c>
      <c r="C83" s="27">
        <v>12</v>
      </c>
      <c r="D83" s="28">
        <v>138</v>
      </c>
      <c r="E83" s="29" t="s">
        <v>72</v>
      </c>
      <c r="F83" s="26" t="s">
        <v>69</v>
      </c>
      <c r="G83" s="29"/>
      <c r="H83" s="11"/>
      <c r="I83" s="13"/>
      <c r="J83" s="13"/>
    </row>
    <row r="84" spans="1:10" ht="15" thickBot="1" x14ac:dyDescent="0.35">
      <c r="A84" s="12" t="s">
        <v>188</v>
      </c>
      <c r="B84" s="26" t="s">
        <v>77</v>
      </c>
      <c r="C84" s="27">
        <v>13</v>
      </c>
      <c r="D84" s="28">
        <v>122</v>
      </c>
      <c r="E84" s="29" t="s">
        <v>72</v>
      </c>
      <c r="F84" s="26" t="s">
        <v>69</v>
      </c>
      <c r="G84" s="29" t="s">
        <v>57</v>
      </c>
      <c r="H84" s="11"/>
      <c r="I84" s="13"/>
      <c r="J84" s="13"/>
    </row>
    <row r="85" spans="1:10" ht="15" thickBot="1" x14ac:dyDescent="0.35">
      <c r="A85" s="12" t="s">
        <v>189</v>
      </c>
      <c r="B85" s="26" t="s">
        <v>106</v>
      </c>
      <c r="C85" s="27">
        <v>15</v>
      </c>
      <c r="D85" s="28">
        <v>133</v>
      </c>
      <c r="E85" s="29" t="s">
        <v>72</v>
      </c>
      <c r="F85" s="26" t="s">
        <v>69</v>
      </c>
      <c r="G85" s="29" t="s">
        <v>57</v>
      </c>
      <c r="H85" s="11"/>
      <c r="I85" s="13"/>
      <c r="J85" s="13"/>
    </row>
    <row r="86" spans="1:10" ht="15" thickBot="1" x14ac:dyDescent="0.35">
      <c r="A86" s="12" t="s">
        <v>190</v>
      </c>
      <c r="B86" s="26" t="s">
        <v>80</v>
      </c>
      <c r="C86" s="27">
        <v>12</v>
      </c>
      <c r="D86" s="28">
        <v>150</v>
      </c>
      <c r="E86" s="29" t="s">
        <v>55</v>
      </c>
      <c r="F86" s="26" t="s">
        <v>69</v>
      </c>
      <c r="G86" s="29"/>
      <c r="H86" s="11"/>
      <c r="I86" s="13"/>
      <c r="J86" s="13"/>
    </row>
    <row r="87" spans="1:10" ht="15" thickBot="1" x14ac:dyDescent="0.35">
      <c r="A87" s="12" t="s">
        <v>191</v>
      </c>
      <c r="B87" s="26" t="s">
        <v>149</v>
      </c>
      <c r="C87" s="27">
        <v>11</v>
      </c>
      <c r="D87" s="28">
        <v>136</v>
      </c>
      <c r="E87" s="29" t="s">
        <v>72</v>
      </c>
      <c r="F87" s="26" t="s">
        <v>56</v>
      </c>
      <c r="G87" s="29" t="s">
        <v>75</v>
      </c>
      <c r="H87" s="11"/>
      <c r="I87" s="13"/>
      <c r="J87" s="13"/>
    </row>
    <row r="88" spans="1:10" ht="15" thickBot="1" x14ac:dyDescent="0.35">
      <c r="A88" s="12" t="s">
        <v>192</v>
      </c>
      <c r="B88" s="26" t="s">
        <v>103</v>
      </c>
      <c r="C88" s="27">
        <v>11</v>
      </c>
      <c r="D88" s="28">
        <v>136</v>
      </c>
      <c r="E88" s="29" t="s">
        <v>72</v>
      </c>
      <c r="F88" s="26" t="s">
        <v>60</v>
      </c>
      <c r="G88" s="29" t="s">
        <v>61</v>
      </c>
      <c r="H88" s="11"/>
      <c r="I88" s="13"/>
      <c r="J88" s="13"/>
    </row>
    <row r="89" spans="1:10" ht="15" thickBot="1" x14ac:dyDescent="0.35">
      <c r="A89" s="12" t="s">
        <v>193</v>
      </c>
      <c r="B89" s="26" t="s">
        <v>194</v>
      </c>
      <c r="C89" s="27">
        <v>11</v>
      </c>
      <c r="D89" s="28">
        <v>130</v>
      </c>
      <c r="E89" s="29" t="s">
        <v>55</v>
      </c>
      <c r="F89" s="26" t="s">
        <v>69</v>
      </c>
      <c r="G89" s="29" t="s">
        <v>57</v>
      </c>
      <c r="H89" s="11"/>
      <c r="I89" s="13"/>
      <c r="J89" s="13"/>
    </row>
    <row r="90" spans="1:10" ht="15" thickBot="1" x14ac:dyDescent="0.35">
      <c r="A90" s="12" t="s">
        <v>195</v>
      </c>
      <c r="B90" s="26" t="s">
        <v>149</v>
      </c>
      <c r="C90" s="27">
        <v>11</v>
      </c>
      <c r="D90" s="28">
        <v>131</v>
      </c>
      <c r="E90" s="29" t="s">
        <v>72</v>
      </c>
      <c r="F90" s="26" t="s">
        <v>78</v>
      </c>
      <c r="G90" s="29" t="s">
        <v>57</v>
      </c>
      <c r="H90" s="11"/>
      <c r="I90" s="13"/>
      <c r="J90" s="13"/>
    </row>
    <row r="91" spans="1:10" ht="15" thickBot="1" x14ac:dyDescent="0.35">
      <c r="A91" s="12" t="s">
        <v>196</v>
      </c>
      <c r="B91" s="26" t="s">
        <v>84</v>
      </c>
      <c r="C91" s="27">
        <v>15</v>
      </c>
      <c r="D91" s="28">
        <v>134</v>
      </c>
      <c r="E91" s="29" t="s">
        <v>55</v>
      </c>
      <c r="F91" s="26" t="s">
        <v>69</v>
      </c>
      <c r="G91" s="29"/>
      <c r="H91" s="11"/>
      <c r="I91" s="13"/>
      <c r="J91" s="13"/>
    </row>
    <row r="92" spans="1:10" ht="15" thickBot="1" x14ac:dyDescent="0.35">
      <c r="A92" s="12" t="s">
        <v>197</v>
      </c>
      <c r="B92" s="26" t="s">
        <v>198</v>
      </c>
      <c r="C92" s="27">
        <v>13</v>
      </c>
      <c r="D92" s="28">
        <v>132</v>
      </c>
      <c r="E92" s="29" t="s">
        <v>55</v>
      </c>
      <c r="F92" s="26" t="s">
        <v>56</v>
      </c>
      <c r="G92" s="29" t="s">
        <v>75</v>
      </c>
      <c r="H92" s="11"/>
      <c r="I92" s="13"/>
      <c r="J92" s="13"/>
    </row>
    <row r="93" spans="1:10" ht="15" thickBot="1" x14ac:dyDescent="0.35">
      <c r="A93" s="12" t="s">
        <v>199</v>
      </c>
      <c r="B93" s="26" t="s">
        <v>200</v>
      </c>
      <c r="C93" s="27">
        <v>13</v>
      </c>
      <c r="D93" s="28">
        <v>143</v>
      </c>
      <c r="E93" s="29" t="s">
        <v>72</v>
      </c>
      <c r="F93" s="26" t="s">
        <v>60</v>
      </c>
      <c r="G93" s="29" t="s">
        <v>57</v>
      </c>
      <c r="H93" s="11"/>
      <c r="I93" s="13"/>
      <c r="J93" s="13"/>
    </row>
    <row r="94" spans="1:10" ht="15" thickBot="1" x14ac:dyDescent="0.35">
      <c r="A94" s="12" t="s">
        <v>201</v>
      </c>
      <c r="B94" s="26" t="s">
        <v>202</v>
      </c>
      <c r="C94" s="27">
        <v>11</v>
      </c>
      <c r="D94" s="28">
        <v>133</v>
      </c>
      <c r="E94" s="29" t="s">
        <v>55</v>
      </c>
      <c r="F94" s="26" t="s">
        <v>69</v>
      </c>
      <c r="G94" s="29" t="s">
        <v>75</v>
      </c>
      <c r="H94" s="11"/>
      <c r="I94" s="13"/>
      <c r="J94" s="13"/>
    </row>
    <row r="95" spans="1:10" ht="15" thickBot="1" x14ac:dyDescent="0.35">
      <c r="A95" s="12" t="s">
        <v>203</v>
      </c>
      <c r="B95" s="26" t="s">
        <v>173</v>
      </c>
      <c r="C95" s="27">
        <v>12</v>
      </c>
      <c r="D95" s="28">
        <v>135</v>
      </c>
      <c r="E95" s="29" t="s">
        <v>55</v>
      </c>
      <c r="F95" s="26" t="s">
        <v>69</v>
      </c>
      <c r="G95" s="29"/>
      <c r="H95" s="11"/>
      <c r="I95" s="13"/>
      <c r="J95" s="13"/>
    </row>
    <row r="96" spans="1:10" ht="15" thickBot="1" x14ac:dyDescent="0.35">
      <c r="A96" s="12" t="s">
        <v>204</v>
      </c>
      <c r="B96" s="26" t="s">
        <v>146</v>
      </c>
      <c r="C96" s="27">
        <v>14</v>
      </c>
      <c r="D96" s="28">
        <v>137</v>
      </c>
      <c r="E96" s="29" t="s">
        <v>72</v>
      </c>
      <c r="F96" s="26" t="s">
        <v>69</v>
      </c>
      <c r="G96" s="29"/>
      <c r="H96" s="11"/>
      <c r="I96" s="13"/>
      <c r="J96" s="13"/>
    </row>
    <row r="97" spans="1:10" ht="15" thickBot="1" x14ac:dyDescent="0.35">
      <c r="A97" s="12" t="s">
        <v>205</v>
      </c>
      <c r="B97" s="26" t="s">
        <v>63</v>
      </c>
      <c r="C97" s="27">
        <v>12</v>
      </c>
      <c r="D97" s="28">
        <v>134</v>
      </c>
      <c r="E97" s="29" t="s">
        <v>55</v>
      </c>
      <c r="F97" s="26" t="s">
        <v>56</v>
      </c>
      <c r="G97" s="29" t="s">
        <v>75</v>
      </c>
      <c r="H97" s="11"/>
      <c r="I97" s="13"/>
      <c r="J97" s="13"/>
    </row>
    <row r="98" spans="1:10" ht="15" thickBot="1" x14ac:dyDescent="0.35">
      <c r="A98" s="12" t="s">
        <v>206</v>
      </c>
      <c r="B98" s="26" t="s">
        <v>185</v>
      </c>
      <c r="C98" s="27">
        <v>12</v>
      </c>
      <c r="D98" s="28">
        <v>136</v>
      </c>
      <c r="E98" s="29" t="s">
        <v>72</v>
      </c>
      <c r="F98" s="26" t="s">
        <v>56</v>
      </c>
      <c r="G98" s="29" t="s">
        <v>88</v>
      </c>
      <c r="H98" s="11"/>
      <c r="I98" s="13"/>
      <c r="J98" s="13"/>
    </row>
    <row r="99" spans="1:10" ht="15" thickBot="1" x14ac:dyDescent="0.35">
      <c r="A99" s="12" t="s">
        <v>207</v>
      </c>
      <c r="B99" s="26" t="s">
        <v>200</v>
      </c>
      <c r="C99" s="27">
        <v>10</v>
      </c>
      <c r="D99" s="28">
        <v>132</v>
      </c>
      <c r="E99" s="29" t="s">
        <v>72</v>
      </c>
      <c r="F99" s="26" t="s">
        <v>60</v>
      </c>
      <c r="G99" s="29"/>
      <c r="H99" s="11"/>
      <c r="I99" s="13"/>
      <c r="J99" s="13"/>
    </row>
    <row r="100" spans="1:10" ht="15" thickBot="1" x14ac:dyDescent="0.35">
      <c r="A100" s="12" t="s">
        <v>208</v>
      </c>
      <c r="B100" s="26" t="s">
        <v>100</v>
      </c>
      <c r="C100" s="27">
        <v>12</v>
      </c>
      <c r="D100" s="28">
        <v>136</v>
      </c>
      <c r="E100" s="29" t="s">
        <v>72</v>
      </c>
      <c r="F100" s="26" t="s">
        <v>56</v>
      </c>
      <c r="G100" s="29" t="s">
        <v>95</v>
      </c>
      <c r="H100" s="11"/>
      <c r="I100" s="13"/>
      <c r="J100" s="13"/>
    </row>
    <row r="101" spans="1:10" ht="15" thickBot="1" x14ac:dyDescent="0.35">
      <c r="A101" s="12" t="s">
        <v>208</v>
      </c>
      <c r="B101" s="26" t="s">
        <v>103</v>
      </c>
      <c r="C101" s="27">
        <v>12</v>
      </c>
      <c r="D101" s="28">
        <v>142</v>
      </c>
      <c r="E101" s="29" t="s">
        <v>72</v>
      </c>
      <c r="F101" s="26" t="s">
        <v>69</v>
      </c>
      <c r="G101" s="29"/>
      <c r="H101" s="11"/>
      <c r="I101" s="13"/>
      <c r="J101" s="13"/>
    </row>
    <row r="102" spans="1:10" ht="15" thickBot="1" x14ac:dyDescent="0.35">
      <c r="A102" s="12" t="s">
        <v>209</v>
      </c>
      <c r="B102" s="26" t="s">
        <v>54</v>
      </c>
      <c r="C102" s="27">
        <v>14</v>
      </c>
      <c r="D102" s="28">
        <v>144</v>
      </c>
      <c r="E102" s="29" t="s">
        <v>55</v>
      </c>
      <c r="F102" s="26" t="s">
        <v>69</v>
      </c>
      <c r="G102" s="29" t="s">
        <v>88</v>
      </c>
      <c r="H102" s="11"/>
      <c r="I102" s="13"/>
      <c r="J102" s="13"/>
    </row>
    <row r="103" spans="1:10" ht="15" thickBot="1" x14ac:dyDescent="0.35">
      <c r="A103" s="12" t="s">
        <v>210</v>
      </c>
      <c r="B103" s="26" t="s">
        <v>92</v>
      </c>
      <c r="C103" s="27">
        <v>11</v>
      </c>
      <c r="D103" s="28">
        <v>127</v>
      </c>
      <c r="E103" s="29" t="s">
        <v>55</v>
      </c>
      <c r="F103" s="26" t="s">
        <v>78</v>
      </c>
      <c r="G103" s="29"/>
      <c r="H103" s="11"/>
      <c r="I103" s="13"/>
      <c r="J103" s="13"/>
    </row>
    <row r="104" spans="1:10" ht="15" thickBot="1" x14ac:dyDescent="0.35">
      <c r="A104" s="12" t="s">
        <v>211</v>
      </c>
      <c r="B104" s="26" t="s">
        <v>131</v>
      </c>
      <c r="C104" s="27">
        <v>14</v>
      </c>
      <c r="D104" s="28">
        <v>114</v>
      </c>
      <c r="E104" s="29" t="s">
        <v>72</v>
      </c>
      <c r="F104" s="26" t="s">
        <v>69</v>
      </c>
      <c r="G104" s="29" t="s">
        <v>88</v>
      </c>
      <c r="H104" s="11"/>
      <c r="I104" s="13"/>
      <c r="J104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E11" sqref="E11"/>
    </sheetView>
  </sheetViews>
  <sheetFormatPr defaultRowHeight="14.4" x14ac:dyDescent="0.3"/>
  <cols>
    <col min="1" max="7" width="13" customWidth="1"/>
  </cols>
  <sheetData>
    <row r="1" spans="1:7" ht="23.4" x14ac:dyDescent="0.3">
      <c r="A1" s="31"/>
      <c r="B1" s="31"/>
      <c r="C1" s="31" t="s">
        <v>212</v>
      </c>
      <c r="D1" s="30"/>
      <c r="E1" s="30"/>
      <c r="F1" s="30"/>
      <c r="G1" s="30"/>
    </row>
    <row r="2" spans="1:7" ht="28.8" x14ac:dyDescent="0.3">
      <c r="A2" s="32" t="s">
        <v>42</v>
      </c>
      <c r="B2" s="32" t="s">
        <v>213</v>
      </c>
      <c r="C2" s="32" t="s">
        <v>214</v>
      </c>
      <c r="D2" s="32" t="s">
        <v>215</v>
      </c>
      <c r="E2" s="32" t="s">
        <v>216</v>
      </c>
      <c r="F2" s="32" t="s">
        <v>217</v>
      </c>
      <c r="G2" s="32" t="s">
        <v>218</v>
      </c>
    </row>
    <row r="3" spans="1:7" x14ac:dyDescent="0.3">
      <c r="A3" s="33" t="s">
        <v>219</v>
      </c>
      <c r="B3" s="34">
        <v>11</v>
      </c>
      <c r="C3" s="34">
        <v>10</v>
      </c>
      <c r="D3" s="34">
        <v>12</v>
      </c>
      <c r="E3" s="34"/>
      <c r="F3" s="34">
        <v>9</v>
      </c>
      <c r="G3" s="35" t="s">
        <v>22</v>
      </c>
    </row>
    <row r="4" spans="1:7" x14ac:dyDescent="0.3">
      <c r="A4" s="36" t="s">
        <v>220</v>
      </c>
      <c r="B4" s="37">
        <v>8</v>
      </c>
      <c r="C4" s="37">
        <v>9</v>
      </c>
      <c r="D4" s="37">
        <v>10</v>
      </c>
      <c r="E4" s="37">
        <v>8</v>
      </c>
      <c r="F4" s="37">
        <v>8</v>
      </c>
      <c r="G4" s="35" t="s">
        <v>22</v>
      </c>
    </row>
    <row r="5" spans="1:7" x14ac:dyDescent="0.3">
      <c r="A5" s="33" t="s">
        <v>221</v>
      </c>
      <c r="B5" s="34">
        <v>8</v>
      </c>
      <c r="C5" s="34">
        <v>10</v>
      </c>
      <c r="D5" s="34"/>
      <c r="E5" s="34">
        <v>10</v>
      </c>
      <c r="F5" s="34">
        <v>11</v>
      </c>
      <c r="G5" s="35" t="s">
        <v>22</v>
      </c>
    </row>
    <row r="6" spans="1:7" x14ac:dyDescent="0.3">
      <c r="A6" s="36" t="s">
        <v>222</v>
      </c>
      <c r="B6" s="37"/>
      <c r="C6" s="37">
        <v>8</v>
      </c>
      <c r="D6" s="37">
        <v>9</v>
      </c>
      <c r="E6" s="37"/>
      <c r="F6" s="37">
        <v>7</v>
      </c>
      <c r="G6" s="35" t="s">
        <v>22</v>
      </c>
    </row>
    <row r="7" spans="1:7" x14ac:dyDescent="0.3">
      <c r="A7" s="33" t="s">
        <v>223</v>
      </c>
      <c r="B7" s="34">
        <v>9</v>
      </c>
      <c r="C7" s="34">
        <v>8</v>
      </c>
      <c r="D7" s="34">
        <v>10</v>
      </c>
      <c r="E7" s="34">
        <v>8</v>
      </c>
      <c r="F7" s="34"/>
      <c r="G7" s="35" t="s">
        <v>22</v>
      </c>
    </row>
    <row r="8" spans="1:7" ht="28.8" x14ac:dyDescent="0.3">
      <c r="A8" s="38" t="s">
        <v>224</v>
      </c>
      <c r="B8" s="39" t="s">
        <v>22</v>
      </c>
      <c r="C8" s="39" t="s">
        <v>22</v>
      </c>
      <c r="D8" s="39" t="s">
        <v>22</v>
      </c>
      <c r="E8" s="39" t="s">
        <v>22</v>
      </c>
      <c r="F8" s="39" t="s">
        <v>22</v>
      </c>
      <c r="G8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I13"/>
  <sheetViews>
    <sheetView workbookViewId="0">
      <selection activeCell="F16" sqref="F16"/>
    </sheetView>
  </sheetViews>
  <sheetFormatPr defaultRowHeight="14.4" x14ac:dyDescent="0.3"/>
  <cols>
    <col min="1" max="1" width="10.44140625" bestFit="1" customWidth="1"/>
    <col min="2" max="4" width="13" customWidth="1"/>
    <col min="5" max="5" width="4.44140625" customWidth="1"/>
    <col min="6" max="6" width="24" customWidth="1"/>
    <col min="7" max="7" width="13.33203125" bestFit="1" customWidth="1"/>
    <col min="8" max="9" width="14.109375" customWidth="1"/>
  </cols>
  <sheetData>
    <row r="2" spans="1:9" x14ac:dyDescent="0.3">
      <c r="A2" s="40"/>
      <c r="B2" s="40"/>
      <c r="C2" s="40"/>
      <c r="D2" s="40"/>
      <c r="E2" s="40"/>
      <c r="F2" s="40"/>
      <c r="G2" s="43" t="s">
        <v>225</v>
      </c>
      <c r="H2" s="42">
        <v>2001</v>
      </c>
      <c r="I2" s="40"/>
    </row>
    <row r="3" spans="1:9" x14ac:dyDescent="0.3">
      <c r="A3" s="43" t="s">
        <v>225</v>
      </c>
      <c r="B3" s="42">
        <v>1999</v>
      </c>
      <c r="C3" s="42">
        <v>2000</v>
      </c>
      <c r="D3" s="42">
        <v>2001</v>
      </c>
      <c r="E3" s="40"/>
      <c r="F3" s="40"/>
      <c r="G3" s="41" t="s">
        <v>226</v>
      </c>
      <c r="H3" s="46">
        <v>23300</v>
      </c>
      <c r="I3" s="40"/>
    </row>
    <row r="4" spans="1:9" x14ac:dyDescent="0.3">
      <c r="A4" s="41" t="s">
        <v>227</v>
      </c>
      <c r="B4" s="46">
        <v>34500</v>
      </c>
      <c r="C4" s="46">
        <v>41000</v>
      </c>
      <c r="D4" s="46">
        <v>24500</v>
      </c>
      <c r="E4" s="40"/>
      <c r="F4" s="40"/>
      <c r="G4" s="41" t="s">
        <v>228</v>
      </c>
      <c r="H4" s="46">
        <v>11100</v>
      </c>
      <c r="I4" s="40"/>
    </row>
    <row r="5" spans="1:9" x14ac:dyDescent="0.3">
      <c r="A5" s="41" t="s">
        <v>229</v>
      </c>
      <c r="B5" s="46">
        <v>17800</v>
      </c>
      <c r="C5" s="46">
        <v>34300</v>
      </c>
      <c r="D5" s="46">
        <v>12000</v>
      </c>
      <c r="E5" s="40"/>
      <c r="F5" s="40"/>
      <c r="G5" s="41" t="s">
        <v>230</v>
      </c>
      <c r="H5" s="46">
        <v>13500</v>
      </c>
      <c r="I5" s="40"/>
    </row>
    <row r="6" spans="1:9" x14ac:dyDescent="0.3">
      <c r="A6" s="41" t="s">
        <v>231</v>
      </c>
      <c r="B6" s="46">
        <v>20600</v>
      </c>
      <c r="C6" s="46">
        <v>23000</v>
      </c>
      <c r="D6" s="46">
        <v>15400</v>
      </c>
      <c r="E6" s="40"/>
      <c r="F6" s="40"/>
      <c r="G6" s="41" t="s">
        <v>232</v>
      </c>
      <c r="H6" s="46">
        <v>34000</v>
      </c>
      <c r="I6" s="40"/>
    </row>
    <row r="8" spans="1:9" ht="18" x14ac:dyDescent="0.35">
      <c r="A8" s="40"/>
      <c r="B8" s="40"/>
      <c r="C8" s="40"/>
      <c r="D8" s="40"/>
      <c r="E8" s="45" t="s">
        <v>233</v>
      </c>
      <c r="F8" s="44" t="s">
        <v>22</v>
      </c>
      <c r="G8" s="40"/>
      <c r="H8" s="40"/>
      <c r="I8" s="40"/>
    </row>
    <row r="10" spans="1:9" x14ac:dyDescent="0.3">
      <c r="A10" s="43" t="s">
        <v>225</v>
      </c>
      <c r="B10" s="42">
        <v>1999</v>
      </c>
      <c r="C10" s="42">
        <v>2000</v>
      </c>
      <c r="D10" s="40"/>
      <c r="E10" s="40"/>
      <c r="F10" s="40"/>
      <c r="G10" s="43" t="s">
        <v>225</v>
      </c>
      <c r="H10" s="42">
        <v>2000</v>
      </c>
      <c r="I10" s="42">
        <v>2001</v>
      </c>
    </row>
    <row r="11" spans="1:9" x14ac:dyDescent="0.3">
      <c r="A11" s="41" t="s">
        <v>234</v>
      </c>
      <c r="B11" s="46">
        <v>45400</v>
      </c>
      <c r="C11" s="46">
        <v>34900</v>
      </c>
      <c r="D11" s="40"/>
      <c r="E11" s="40"/>
      <c r="F11" s="40"/>
      <c r="G11" s="41" t="s">
        <v>235</v>
      </c>
      <c r="H11" s="46">
        <v>15600</v>
      </c>
      <c r="I11" s="46">
        <v>18900</v>
      </c>
    </row>
    <row r="12" spans="1:9" x14ac:dyDescent="0.3">
      <c r="A12" s="41" t="s">
        <v>236</v>
      </c>
      <c r="B12" s="46">
        <v>22300</v>
      </c>
      <c r="C12" s="46">
        <v>17800</v>
      </c>
      <c r="D12" s="40"/>
      <c r="E12" s="40"/>
      <c r="F12" s="40"/>
      <c r="G12" s="41" t="s">
        <v>237</v>
      </c>
      <c r="H12" s="46">
        <v>44000</v>
      </c>
      <c r="I12" s="46">
        <v>23400</v>
      </c>
    </row>
    <row r="13" spans="1:9" x14ac:dyDescent="0.3">
      <c r="A13" s="41" t="s">
        <v>238</v>
      </c>
      <c r="B13" s="46">
        <v>34200</v>
      </c>
      <c r="C13" s="46">
        <v>12000</v>
      </c>
      <c r="D13" s="40"/>
      <c r="E13" s="40"/>
      <c r="F13" s="40"/>
      <c r="G13" s="40"/>
      <c r="H13" s="40"/>
      <c r="I13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"/>
  <sheetViews>
    <sheetView topLeftCell="A22" workbookViewId="0">
      <selection activeCell="F39" sqref="F39"/>
    </sheetView>
  </sheetViews>
  <sheetFormatPr defaultRowHeight="14.4" x14ac:dyDescent="0.3"/>
  <cols>
    <col min="1" max="4" width="11.6640625" customWidth="1"/>
    <col min="5" max="5" width="6.88671875" customWidth="1"/>
    <col min="6" max="7" width="14.33203125" customWidth="1"/>
    <col min="8" max="8" width="14.88671875" customWidth="1"/>
  </cols>
  <sheetData>
    <row r="1" spans="1:9" ht="18" x14ac:dyDescent="0.3">
      <c r="A1" s="54" t="s">
        <v>239</v>
      </c>
      <c r="B1" s="47"/>
      <c r="C1" s="47"/>
      <c r="D1" s="47"/>
      <c r="E1" s="47"/>
      <c r="F1" s="47"/>
      <c r="G1" s="47"/>
      <c r="H1" s="47"/>
      <c r="I1" s="47"/>
    </row>
    <row r="2" spans="1:9" ht="15.6" x14ac:dyDescent="0.3">
      <c r="A2" s="48" t="s">
        <v>240</v>
      </c>
      <c r="B2" s="48" t="s">
        <v>241</v>
      </c>
      <c r="C2" s="48" t="s">
        <v>242</v>
      </c>
      <c r="D2" s="51" t="s">
        <v>243</v>
      </c>
      <c r="E2" s="47"/>
      <c r="F2" s="47"/>
      <c r="G2" s="47"/>
      <c r="H2" s="47"/>
      <c r="I2" s="47"/>
    </row>
    <row r="3" spans="1:9" x14ac:dyDescent="0.3">
      <c r="A3" s="49" t="s">
        <v>244</v>
      </c>
      <c r="B3" s="49" t="s">
        <v>13</v>
      </c>
      <c r="C3" s="50">
        <v>15</v>
      </c>
      <c r="D3" s="55">
        <v>72</v>
      </c>
      <c r="E3" s="47"/>
      <c r="F3" s="47"/>
      <c r="G3" s="47"/>
      <c r="H3" s="47"/>
      <c r="I3" s="47"/>
    </row>
    <row r="4" spans="1:9" x14ac:dyDescent="0.3">
      <c r="A4" s="49" t="s">
        <v>245</v>
      </c>
      <c r="B4" s="49" t="s">
        <v>13</v>
      </c>
      <c r="C4" s="50">
        <v>200</v>
      </c>
      <c r="D4" s="55">
        <v>120</v>
      </c>
      <c r="E4" s="47"/>
      <c r="F4" s="47"/>
      <c r="G4" s="47"/>
      <c r="H4" s="47"/>
      <c r="I4" s="47"/>
    </row>
    <row r="5" spans="1:9" x14ac:dyDescent="0.3">
      <c r="A5" s="49" t="s">
        <v>246</v>
      </c>
      <c r="B5" s="49" t="s">
        <v>13</v>
      </c>
      <c r="C5" s="50">
        <v>34</v>
      </c>
      <c r="D5" s="55">
        <v>74.8</v>
      </c>
      <c r="E5" s="47"/>
      <c r="F5" s="47"/>
      <c r="G5" s="47"/>
      <c r="H5" s="47"/>
      <c r="I5" s="47"/>
    </row>
    <row r="6" spans="1:9" x14ac:dyDescent="0.3">
      <c r="A6" s="49" t="s">
        <v>246</v>
      </c>
      <c r="B6" s="49" t="s">
        <v>13</v>
      </c>
      <c r="C6" s="50">
        <v>15</v>
      </c>
      <c r="D6" s="55">
        <v>33</v>
      </c>
      <c r="E6" s="47"/>
      <c r="F6" s="47"/>
      <c r="G6" s="47"/>
      <c r="H6" s="47"/>
      <c r="I6" s="47"/>
    </row>
    <row r="7" spans="1:9" x14ac:dyDescent="0.3">
      <c r="A7" s="49" t="s">
        <v>244</v>
      </c>
      <c r="B7" s="49" t="s">
        <v>13</v>
      </c>
      <c r="C7" s="50">
        <v>34</v>
      </c>
      <c r="D7" s="55">
        <v>163.19999999999999</v>
      </c>
      <c r="E7" s="47"/>
      <c r="F7" s="47"/>
      <c r="G7" s="47"/>
      <c r="H7" s="47"/>
      <c r="I7" s="47"/>
    </row>
    <row r="8" spans="1:9" x14ac:dyDescent="0.3">
      <c r="A8" s="49" t="s">
        <v>244</v>
      </c>
      <c r="B8" s="49" t="s">
        <v>13</v>
      </c>
      <c r="C8" s="50">
        <v>67</v>
      </c>
      <c r="D8" s="55">
        <v>281.39999999999998</v>
      </c>
      <c r="E8" s="47"/>
      <c r="F8" s="47"/>
      <c r="G8" s="47"/>
      <c r="H8" s="47"/>
      <c r="I8" s="47"/>
    </row>
    <row r="9" spans="1:9" x14ac:dyDescent="0.3">
      <c r="A9" s="49" t="s">
        <v>245</v>
      </c>
      <c r="B9" s="49" t="s">
        <v>14</v>
      </c>
      <c r="C9" s="50">
        <v>89</v>
      </c>
      <c r="D9" s="55">
        <v>53.4</v>
      </c>
      <c r="E9" s="47"/>
      <c r="F9" s="47"/>
      <c r="G9" s="47"/>
      <c r="H9" s="47"/>
      <c r="I9" s="47"/>
    </row>
    <row r="10" spans="1:9" x14ac:dyDescent="0.3">
      <c r="A10" s="49" t="s">
        <v>246</v>
      </c>
      <c r="B10" s="49" t="s">
        <v>14</v>
      </c>
      <c r="C10" s="50">
        <v>112</v>
      </c>
      <c r="D10" s="55">
        <v>246.4</v>
      </c>
      <c r="E10" s="47"/>
      <c r="F10" s="47"/>
      <c r="G10" s="47"/>
      <c r="H10" s="47"/>
      <c r="I10" s="47"/>
    </row>
    <row r="11" spans="1:9" x14ac:dyDescent="0.3">
      <c r="A11" s="49" t="s">
        <v>244</v>
      </c>
      <c r="B11" s="49" t="s">
        <v>14</v>
      </c>
      <c r="C11" s="50">
        <v>34</v>
      </c>
      <c r="D11" s="55">
        <v>163.19999999999999</v>
      </c>
      <c r="E11" s="47"/>
      <c r="F11" s="47"/>
      <c r="G11" s="47"/>
      <c r="H11" s="47"/>
      <c r="I11" s="47"/>
    </row>
    <row r="12" spans="1:9" x14ac:dyDescent="0.3">
      <c r="A12" s="49" t="s">
        <v>244</v>
      </c>
      <c r="B12" s="49" t="s">
        <v>14</v>
      </c>
      <c r="C12" s="50">
        <v>2</v>
      </c>
      <c r="D12" s="55">
        <v>9.6</v>
      </c>
      <c r="E12" s="47"/>
      <c r="F12" s="47"/>
      <c r="G12" s="47"/>
      <c r="H12" s="47"/>
      <c r="I12" s="47"/>
    </row>
    <row r="13" spans="1:9" x14ac:dyDescent="0.3">
      <c r="A13" s="49" t="s">
        <v>244</v>
      </c>
      <c r="B13" s="49" t="s">
        <v>14</v>
      </c>
      <c r="C13" s="50">
        <v>56</v>
      </c>
      <c r="D13" s="55">
        <v>314.88</v>
      </c>
      <c r="E13" s="47"/>
      <c r="F13" s="47"/>
      <c r="G13" s="47"/>
      <c r="H13" s="47"/>
      <c r="I13" s="47"/>
    </row>
    <row r="14" spans="1:9" x14ac:dyDescent="0.3">
      <c r="A14" s="49" t="s">
        <v>244</v>
      </c>
      <c r="B14" s="49" t="s">
        <v>14</v>
      </c>
      <c r="C14" s="50">
        <v>5</v>
      </c>
      <c r="D14" s="55">
        <v>24</v>
      </c>
      <c r="E14" s="47"/>
      <c r="F14" s="47"/>
      <c r="G14" s="47"/>
      <c r="H14" s="47"/>
      <c r="I14" s="47"/>
    </row>
    <row r="15" spans="1:9" x14ac:dyDescent="0.3">
      <c r="A15" s="49" t="s">
        <v>246</v>
      </c>
      <c r="B15" s="49" t="s">
        <v>14</v>
      </c>
      <c r="C15" s="50">
        <v>90</v>
      </c>
      <c r="D15" s="55">
        <v>198</v>
      </c>
      <c r="E15" s="47"/>
      <c r="F15" s="47"/>
      <c r="G15" s="47"/>
      <c r="H15" s="47"/>
      <c r="I15" s="47"/>
    </row>
    <row r="16" spans="1:9" x14ac:dyDescent="0.3">
      <c r="A16" s="49" t="s">
        <v>244</v>
      </c>
      <c r="B16" s="49" t="s">
        <v>14</v>
      </c>
      <c r="C16" s="50">
        <v>76</v>
      </c>
      <c r="D16" s="55">
        <v>364.8</v>
      </c>
      <c r="E16" s="47"/>
      <c r="F16" s="47"/>
      <c r="G16" s="47"/>
      <c r="H16" s="47"/>
      <c r="I16" s="47"/>
    </row>
    <row r="17" spans="1:9" x14ac:dyDescent="0.3">
      <c r="A17" s="49" t="s">
        <v>245</v>
      </c>
      <c r="B17" s="49" t="s">
        <v>14</v>
      </c>
      <c r="C17" s="50">
        <v>59</v>
      </c>
      <c r="D17" s="55">
        <v>35.4</v>
      </c>
      <c r="E17" s="47"/>
      <c r="F17" s="47"/>
      <c r="G17" s="47"/>
      <c r="H17" s="47"/>
      <c r="I17" s="47"/>
    </row>
    <row r="18" spans="1:9" x14ac:dyDescent="0.3">
      <c r="A18" s="49" t="s">
        <v>245</v>
      </c>
      <c r="B18" s="49" t="s">
        <v>14</v>
      </c>
      <c r="C18" s="50">
        <v>82</v>
      </c>
      <c r="D18" s="55">
        <v>49.2</v>
      </c>
      <c r="E18" s="47"/>
      <c r="F18" s="47"/>
      <c r="G18" s="47"/>
      <c r="H18" s="47"/>
      <c r="I18" s="47"/>
    </row>
    <row r="19" spans="1:9" x14ac:dyDescent="0.3">
      <c r="A19" s="49" t="s">
        <v>246</v>
      </c>
      <c r="B19" s="49" t="s">
        <v>15</v>
      </c>
      <c r="C19" s="50">
        <v>76</v>
      </c>
      <c r="D19" s="55">
        <v>167.2</v>
      </c>
      <c r="E19" s="47"/>
      <c r="F19" s="47"/>
      <c r="G19" s="47"/>
      <c r="H19" s="47"/>
      <c r="I19" s="47"/>
    </row>
    <row r="20" spans="1:9" x14ac:dyDescent="0.3">
      <c r="A20" s="49" t="s">
        <v>245</v>
      </c>
      <c r="B20" s="49" t="s">
        <v>15</v>
      </c>
      <c r="C20" s="50">
        <v>23</v>
      </c>
      <c r="D20" s="55">
        <v>13.8</v>
      </c>
      <c r="E20" s="47"/>
      <c r="F20" s="47"/>
      <c r="G20" s="47"/>
      <c r="H20" s="47"/>
      <c r="I20" s="47"/>
    </row>
    <row r="21" spans="1:9" x14ac:dyDescent="0.3">
      <c r="A21" s="49" t="s">
        <v>244</v>
      </c>
      <c r="B21" s="49" t="s">
        <v>15</v>
      </c>
      <c r="C21" s="50">
        <v>11</v>
      </c>
      <c r="D21" s="55">
        <v>52.8</v>
      </c>
      <c r="E21" s="47"/>
      <c r="F21" s="47"/>
      <c r="G21" s="47"/>
      <c r="H21" s="47"/>
      <c r="I21" s="47"/>
    </row>
    <row r="22" spans="1:9" x14ac:dyDescent="0.3">
      <c r="A22" s="49" t="s">
        <v>246</v>
      </c>
      <c r="B22" s="49" t="s">
        <v>15</v>
      </c>
      <c r="C22" s="50">
        <v>12</v>
      </c>
      <c r="D22" s="55">
        <v>26.4</v>
      </c>
      <c r="E22" s="47"/>
      <c r="F22" s="47"/>
      <c r="G22" s="47"/>
      <c r="H22" s="47"/>
      <c r="I22" s="47"/>
    </row>
    <row r="23" spans="1:9" x14ac:dyDescent="0.3">
      <c r="A23" s="49" t="s">
        <v>245</v>
      </c>
      <c r="B23" s="49" t="s">
        <v>15</v>
      </c>
      <c r="C23" s="50">
        <v>68</v>
      </c>
      <c r="D23" s="55">
        <v>40.799999999999997</v>
      </c>
      <c r="E23" s="47"/>
      <c r="F23" s="47"/>
      <c r="G23" s="47"/>
      <c r="H23" s="47"/>
      <c r="I23" s="47"/>
    </row>
    <row r="24" spans="1:9" x14ac:dyDescent="0.3">
      <c r="A24" s="49" t="s">
        <v>245</v>
      </c>
      <c r="B24" s="49" t="s">
        <v>16</v>
      </c>
      <c r="C24" s="50">
        <v>96</v>
      </c>
      <c r="D24" s="55">
        <v>57.6</v>
      </c>
      <c r="E24" s="47"/>
      <c r="F24" s="47"/>
      <c r="G24" s="47"/>
      <c r="H24" s="47"/>
      <c r="I24" s="47"/>
    </row>
    <row r="25" spans="1:9" x14ac:dyDescent="0.3">
      <c r="A25" s="49" t="s">
        <v>246</v>
      </c>
      <c r="B25" s="49" t="s">
        <v>16</v>
      </c>
      <c r="C25" s="50">
        <v>45</v>
      </c>
      <c r="D25" s="55">
        <v>99</v>
      </c>
      <c r="E25" s="47"/>
      <c r="F25" s="47"/>
      <c r="G25" s="47"/>
      <c r="H25" s="47"/>
      <c r="I25" s="47"/>
    </row>
    <row r="26" spans="1:9" x14ac:dyDescent="0.3">
      <c r="A26" s="49" t="s">
        <v>245</v>
      </c>
      <c r="B26" s="49" t="s">
        <v>16</v>
      </c>
      <c r="C26" s="50">
        <v>47</v>
      </c>
      <c r="D26" s="55">
        <v>28.2</v>
      </c>
      <c r="E26" s="47"/>
      <c r="F26" s="47"/>
      <c r="G26" s="47"/>
      <c r="H26" s="47"/>
      <c r="I26" s="47"/>
    </row>
    <row r="27" spans="1:9" x14ac:dyDescent="0.3">
      <c r="A27" s="49" t="s">
        <v>244</v>
      </c>
      <c r="B27" s="49" t="s">
        <v>16</v>
      </c>
      <c r="C27" s="50">
        <v>37</v>
      </c>
      <c r="D27" s="55">
        <v>177.6</v>
      </c>
      <c r="E27" s="47"/>
      <c r="F27" s="47"/>
      <c r="G27" s="47"/>
      <c r="H27" s="47"/>
      <c r="I27" s="47"/>
    </row>
    <row r="28" spans="1:9" x14ac:dyDescent="0.3">
      <c r="A28" s="49" t="s">
        <v>244</v>
      </c>
      <c r="B28" s="49" t="s">
        <v>16</v>
      </c>
      <c r="C28" s="50">
        <v>68</v>
      </c>
      <c r="D28" s="55">
        <v>326.39999999999998</v>
      </c>
      <c r="E28" s="47"/>
      <c r="F28" s="47"/>
      <c r="G28" s="47"/>
      <c r="H28" s="47"/>
      <c r="I28" s="47"/>
    </row>
    <row r="29" spans="1:9" x14ac:dyDescent="0.3">
      <c r="A29" s="49" t="s">
        <v>244</v>
      </c>
      <c r="B29" s="49" t="s">
        <v>16</v>
      </c>
      <c r="C29" s="50">
        <v>43</v>
      </c>
      <c r="D29" s="55">
        <v>206.4</v>
      </c>
      <c r="E29" s="47"/>
      <c r="F29" s="56" t="s">
        <v>247</v>
      </c>
      <c r="G29" s="57"/>
      <c r="H29" s="58"/>
      <c r="I29" s="53" t="s">
        <v>22</v>
      </c>
    </row>
    <row r="30" spans="1:9" x14ac:dyDescent="0.3">
      <c r="A30" s="49" t="s">
        <v>245</v>
      </c>
      <c r="B30" s="49" t="s">
        <v>16</v>
      </c>
      <c r="C30" s="50">
        <v>23</v>
      </c>
      <c r="D30" s="55">
        <v>13.8</v>
      </c>
      <c r="E30" s="47"/>
      <c r="F30" s="56" t="s">
        <v>248</v>
      </c>
      <c r="G30" s="57"/>
      <c r="H30" s="58"/>
      <c r="I30" s="53" t="s">
        <v>22</v>
      </c>
    </row>
    <row r="31" spans="1:9" x14ac:dyDescent="0.3">
      <c r="A31" s="49" t="s">
        <v>246</v>
      </c>
      <c r="B31" s="49" t="s">
        <v>16</v>
      </c>
      <c r="C31" s="50">
        <v>67</v>
      </c>
      <c r="D31" s="55">
        <v>147.4</v>
      </c>
      <c r="E31" s="47"/>
      <c r="F31" s="56" t="s">
        <v>249</v>
      </c>
      <c r="G31" s="57"/>
      <c r="H31" s="58"/>
      <c r="I31" s="53" t="s">
        <v>22</v>
      </c>
    </row>
    <row r="32" spans="1:9" x14ac:dyDescent="0.3">
      <c r="A32" s="49" t="s">
        <v>244</v>
      </c>
      <c r="B32" s="49" t="s">
        <v>16</v>
      </c>
      <c r="C32" s="50">
        <v>78</v>
      </c>
      <c r="D32" s="55">
        <v>374.4</v>
      </c>
      <c r="E32" s="47"/>
      <c r="F32" s="56" t="s">
        <v>274</v>
      </c>
      <c r="G32" s="57"/>
      <c r="H32" s="58"/>
      <c r="I32" s="53" t="s">
        <v>22</v>
      </c>
    </row>
    <row r="33" spans="1:4" x14ac:dyDescent="0.3">
      <c r="A33" s="88" t="s">
        <v>19</v>
      </c>
      <c r="B33" s="89"/>
      <c r="C33" s="52" t="s">
        <v>22</v>
      </c>
      <c r="D33" s="59" t="s">
        <v>22</v>
      </c>
    </row>
  </sheetData>
  <mergeCells count="1">
    <mergeCell ref="A33:B33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13"/>
  <sheetViews>
    <sheetView zoomScale="115" zoomScaleNormal="115" workbookViewId="0">
      <selection activeCell="D14" sqref="D14"/>
    </sheetView>
  </sheetViews>
  <sheetFormatPr defaultRowHeight="14.4" x14ac:dyDescent="0.3"/>
  <cols>
    <col min="1" max="1" width="19.5546875" customWidth="1"/>
    <col min="2" max="10" width="14.33203125" customWidth="1"/>
  </cols>
  <sheetData>
    <row r="1" spans="1:10" ht="18" x14ac:dyDescent="0.35">
      <c r="A1" s="60"/>
      <c r="B1" s="60"/>
      <c r="C1" s="61" t="s">
        <v>250</v>
      </c>
      <c r="D1" s="60"/>
      <c r="E1" s="60"/>
      <c r="F1" s="60"/>
      <c r="G1" s="60"/>
      <c r="H1" s="62"/>
      <c r="I1" s="62"/>
      <c r="J1" s="62"/>
    </row>
    <row r="2" spans="1:10" x14ac:dyDescent="0.3">
      <c r="A2" s="63"/>
      <c r="B2" s="63"/>
      <c r="C2" s="63"/>
      <c r="D2" s="63"/>
      <c r="E2" s="63"/>
      <c r="F2" s="63"/>
      <c r="G2" s="63"/>
    </row>
    <row r="3" spans="1:10" ht="15.6" x14ac:dyDescent="0.3">
      <c r="A3" s="64" t="s">
        <v>251</v>
      </c>
      <c r="B3" s="65" t="s">
        <v>252</v>
      </c>
      <c r="C3" s="65" t="s">
        <v>253</v>
      </c>
      <c r="D3" s="65" t="s">
        <v>254</v>
      </c>
      <c r="E3" s="65" t="s">
        <v>255</v>
      </c>
      <c r="F3" s="65" t="s">
        <v>256</v>
      </c>
      <c r="G3" s="65" t="s">
        <v>257</v>
      </c>
      <c r="H3" s="65" t="s">
        <v>258</v>
      </c>
      <c r="I3" s="65" t="s">
        <v>259</v>
      </c>
      <c r="J3" s="65" t="s">
        <v>260</v>
      </c>
    </row>
    <row r="4" spans="1:10" ht="15.6" x14ac:dyDescent="0.3">
      <c r="A4" s="66" t="s">
        <v>261</v>
      </c>
      <c r="B4" s="67">
        <v>8</v>
      </c>
      <c r="C4" s="67">
        <v>12</v>
      </c>
      <c r="D4" s="67">
        <v>7</v>
      </c>
      <c r="E4" s="67">
        <v>9</v>
      </c>
      <c r="F4" s="67">
        <v>3</v>
      </c>
      <c r="G4" s="67">
        <v>8</v>
      </c>
      <c r="H4" s="67">
        <v>9</v>
      </c>
      <c r="I4" s="67">
        <v>8</v>
      </c>
      <c r="J4" s="67">
        <v>7</v>
      </c>
    </row>
    <row r="5" spans="1:10" ht="15.6" x14ac:dyDescent="0.3">
      <c r="A5" s="66" t="s">
        <v>262</v>
      </c>
      <c r="B5" s="67">
        <v>9</v>
      </c>
      <c r="C5" s="67">
        <v>5</v>
      </c>
      <c r="D5" s="67">
        <v>7</v>
      </c>
      <c r="E5" s="67">
        <v>10</v>
      </c>
      <c r="F5" s="67">
        <v>4</v>
      </c>
      <c r="G5" s="67">
        <v>6</v>
      </c>
      <c r="H5" s="67">
        <v>15</v>
      </c>
      <c r="I5" s="67">
        <v>15</v>
      </c>
      <c r="J5" s="67">
        <v>3</v>
      </c>
    </row>
    <row r="6" spans="1:10" ht="15.6" x14ac:dyDescent="0.3">
      <c r="A6" s="66" t="s">
        <v>263</v>
      </c>
      <c r="B6" s="67">
        <v>14</v>
      </c>
      <c r="C6" s="67">
        <v>13</v>
      </c>
      <c r="D6" s="67">
        <v>10</v>
      </c>
      <c r="E6" s="67">
        <v>11</v>
      </c>
      <c r="F6" s="67">
        <v>5</v>
      </c>
      <c r="G6" s="67">
        <v>10</v>
      </c>
      <c r="H6" s="67">
        <v>20</v>
      </c>
      <c r="I6" s="67">
        <v>17</v>
      </c>
      <c r="J6" s="67">
        <v>10</v>
      </c>
    </row>
    <row r="7" spans="1:10" ht="27" customHeight="1" x14ac:dyDescent="0.3">
      <c r="A7" s="68" t="s">
        <v>264</v>
      </c>
      <c r="B7" s="69" t="s">
        <v>22</v>
      </c>
      <c r="C7" s="69" t="s">
        <v>22</v>
      </c>
      <c r="D7" s="69" t="s">
        <v>22</v>
      </c>
      <c r="E7" s="69" t="s">
        <v>22</v>
      </c>
      <c r="F7" s="69" t="s">
        <v>22</v>
      </c>
      <c r="G7" s="69" t="s">
        <v>22</v>
      </c>
      <c r="H7" s="69" t="s">
        <v>22</v>
      </c>
      <c r="I7" s="69" t="s">
        <v>22</v>
      </c>
      <c r="J7" s="69" t="s">
        <v>22</v>
      </c>
    </row>
    <row r="8" spans="1:10" ht="27" customHeight="1" x14ac:dyDescent="0.3">
      <c r="A8" s="70" t="s">
        <v>265</v>
      </c>
      <c r="B8" s="71" t="e">
        <f>SQRT(B7*(B7-B4)*(B7-B5)*(B7-B6))</f>
        <v>#VALUE!</v>
      </c>
      <c r="C8" s="71" t="e">
        <f t="shared" ref="C8:J8" si="0">SQRT(C7*(C7-C4)*(C7-C5)*(C7-C6))</f>
        <v>#VALUE!</v>
      </c>
      <c r="D8" s="71" t="e">
        <f t="shared" si="0"/>
        <v>#VALUE!</v>
      </c>
      <c r="E8" s="71" t="e">
        <f t="shared" si="0"/>
        <v>#VALUE!</v>
      </c>
      <c r="F8" s="71" t="e">
        <f t="shared" si="0"/>
        <v>#VALUE!</v>
      </c>
      <c r="G8" s="71" t="e">
        <f t="shared" si="0"/>
        <v>#VALUE!</v>
      </c>
      <c r="H8" s="71" t="e">
        <f t="shared" si="0"/>
        <v>#VALUE!</v>
      </c>
      <c r="I8" s="71" t="e">
        <f t="shared" si="0"/>
        <v>#VALUE!</v>
      </c>
      <c r="J8" s="71" t="e">
        <f t="shared" si="0"/>
        <v>#VALUE!</v>
      </c>
    </row>
    <row r="9" spans="1:10" ht="46.8" x14ac:dyDescent="0.3">
      <c r="A9" s="68" t="s">
        <v>266</v>
      </c>
      <c r="B9" s="69" t="s">
        <v>22</v>
      </c>
      <c r="C9" s="69" t="s">
        <v>22</v>
      </c>
      <c r="D9" s="69" t="s">
        <v>22</v>
      </c>
      <c r="E9" s="69" t="s">
        <v>22</v>
      </c>
      <c r="F9" s="69" t="s">
        <v>22</v>
      </c>
      <c r="G9" s="69" t="s">
        <v>22</v>
      </c>
      <c r="H9" s="69" t="s">
        <v>22</v>
      </c>
      <c r="I9" s="69" t="s">
        <v>22</v>
      </c>
      <c r="J9" s="69" t="s">
        <v>22</v>
      </c>
    </row>
    <row r="10" spans="1:10" ht="15.6" x14ac:dyDescent="0.3">
      <c r="A10" s="72"/>
      <c r="B10" s="72"/>
      <c r="C10" s="72"/>
      <c r="D10" s="72"/>
      <c r="E10" s="72"/>
      <c r="F10" s="72"/>
      <c r="G10" s="72"/>
    </row>
    <row r="11" spans="1:10" ht="15.6" x14ac:dyDescent="0.3">
      <c r="A11" s="73"/>
      <c r="B11" s="73"/>
      <c r="C11" s="73"/>
      <c r="D11" s="73"/>
      <c r="E11" s="73"/>
      <c r="F11" s="73"/>
      <c r="G11" s="73"/>
    </row>
    <row r="12" spans="1:10" ht="15.6" x14ac:dyDescent="0.3">
      <c r="A12" s="73"/>
      <c r="B12" s="73"/>
      <c r="C12" s="73"/>
      <c r="D12" s="73"/>
      <c r="E12" s="73"/>
      <c r="F12" s="73"/>
      <c r="G12" s="73"/>
    </row>
    <row r="13" spans="1:10" ht="15.6" x14ac:dyDescent="0.3">
      <c r="A13" s="73"/>
      <c r="B13" s="73"/>
      <c r="C13" s="73"/>
      <c r="D13" s="73"/>
      <c r="E13" s="73"/>
      <c r="F13" s="73"/>
      <c r="G13" s="73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5" r:id="rId3">
          <objectPr defaultSize="0" autoPict="0" r:id="rId4">
            <anchor moveWithCells="1">
              <from>
                <xdr:col>0</xdr:col>
                <xdr:colOff>678180</xdr:colOff>
                <xdr:row>10</xdr:row>
                <xdr:rowOff>22860</xdr:rowOff>
              </from>
              <to>
                <xdr:col>2</xdr:col>
                <xdr:colOff>617220</xdr:colOff>
                <xdr:row>17</xdr:row>
                <xdr:rowOff>60960</xdr:rowOff>
              </to>
            </anchor>
          </objectPr>
        </oleObject>
      </mc:Choice>
      <mc:Fallback>
        <oleObject progId="Equation.3" shapeId="1025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topLeftCell="A2" workbookViewId="0">
      <selection activeCell="B9" sqref="B9"/>
    </sheetView>
  </sheetViews>
  <sheetFormatPr defaultRowHeight="14.4" x14ac:dyDescent="0.3"/>
  <cols>
    <col min="3" max="4" width="13.33203125" customWidth="1"/>
  </cols>
  <sheetData>
    <row r="1" spans="1:10" ht="15.6" x14ac:dyDescent="0.3">
      <c r="A1" s="74" t="s">
        <v>267</v>
      </c>
    </row>
    <row r="2" spans="1:10" ht="15.6" x14ac:dyDescent="0.3">
      <c r="A2" s="75"/>
      <c r="B2" s="72" t="s">
        <v>268</v>
      </c>
      <c r="C2" s="75"/>
      <c r="D2" s="75"/>
      <c r="E2" s="75"/>
      <c r="F2" s="75"/>
      <c r="G2" s="75"/>
      <c r="H2" s="75"/>
      <c r="I2" s="75"/>
      <c r="J2" s="75"/>
    </row>
    <row r="3" spans="1:10" ht="15.6" x14ac:dyDescent="0.3">
      <c r="A3" s="75"/>
      <c r="B3" s="72" t="s">
        <v>269</v>
      </c>
      <c r="C3" s="75"/>
      <c r="D3" s="75"/>
      <c r="E3" s="75"/>
      <c r="F3" s="75"/>
      <c r="G3" s="75"/>
      <c r="H3" s="75"/>
      <c r="I3" s="75"/>
      <c r="J3" s="75"/>
    </row>
    <row r="6" spans="1:10" x14ac:dyDescent="0.3">
      <c r="A6" s="76" t="s">
        <v>270</v>
      </c>
      <c r="B6" s="76" t="s">
        <v>271</v>
      </c>
      <c r="C6" s="77" t="s">
        <v>272</v>
      </c>
      <c r="D6" s="77" t="s">
        <v>273</v>
      </c>
    </row>
    <row r="7" spans="1:10" x14ac:dyDescent="0.3">
      <c r="A7" s="78">
        <v>14.3</v>
      </c>
      <c r="B7" s="78">
        <v>17.8</v>
      </c>
      <c r="C7" s="79" t="s">
        <v>22</v>
      </c>
      <c r="D7" s="79" t="s">
        <v>22</v>
      </c>
    </row>
    <row r="11" spans="1:10" x14ac:dyDescent="0.3">
      <c r="B11" s="63"/>
      <c r="C11" s="80"/>
      <c r="D11" s="80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049" r:id="rId3">
          <objectPr defaultSize="0" autoPict="0" r:id="rId4">
            <anchor moveWithCells="1" sizeWithCells="1">
              <from>
                <xdr:col>4</xdr:col>
                <xdr:colOff>601980</xdr:colOff>
                <xdr:row>4</xdr:row>
                <xdr:rowOff>99060</xdr:rowOff>
              </from>
              <to>
                <xdr:col>9</xdr:col>
                <xdr:colOff>68580</xdr:colOff>
                <xdr:row>7</xdr:row>
                <xdr:rowOff>160020</xdr:rowOff>
              </to>
            </anchor>
          </objectPr>
        </oleObject>
      </mc:Choice>
      <mc:Fallback>
        <oleObject progId="Equation.3" shapeId="2049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1 Шахти</vt:lpstr>
      <vt:lpstr>2 Олімпіада</vt:lpstr>
      <vt:lpstr>3 Оцінки</vt:lpstr>
      <vt:lpstr>4 Гроші</vt:lpstr>
      <vt:lpstr>5 Канцтовари</vt:lpstr>
      <vt:lpstr>6 Трикутники</vt:lpstr>
      <vt:lpstr>7 Куля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stepler</dc:creator>
  <cp:lastModifiedBy>Teacher</cp:lastModifiedBy>
  <dcterms:created xsi:type="dcterms:W3CDTF">2024-07-12T04:44:53Z</dcterms:created>
  <dcterms:modified xsi:type="dcterms:W3CDTF">2025-09-13T15:49:44Z</dcterms:modified>
</cp:coreProperties>
</file>